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jptellezg/Desktop/Docs Acandemia Mundobnb/Estudios de Mercado Cadencia de Reservas/"/>
    </mc:Choice>
  </mc:AlternateContent>
  <xr:revisionPtr revIDLastSave="0" documentId="8_{838ED1EF-5168-204C-B455-F794CB6B4E41}" xr6:coauthVersionLast="47" xr6:coauthVersionMax="47" xr10:uidLastSave="{00000000-0000-0000-0000-000000000000}"/>
  <bookViews>
    <workbookView xWindow="0" yWindow="660" windowWidth="29260" windowHeight="18460" tabRatio="500" activeTab="4" xr2:uid="{00000000-000D-0000-FFFF-FFFF00000000}"/>
  </bookViews>
  <sheets>
    <sheet name="🏠 Bienvenida" sheetId="1" r:id="rId1"/>
    <sheet name="1. Perfil" sheetId="2" r:id="rId2"/>
    <sheet name="2. Mercado" sheetId="3" r:id="rId3"/>
    <sheet name="3. Top Propiedades" sheetId="4" r:id="rId4"/>
    <sheet name="4a. Factibilidad" sheetId="5" r:id="rId5"/>
    <sheet name="4b. Aspiracional" sheetId="7" r:id="rId6"/>
    <sheet name="4c. Techo de Mercado" sheetId="20" r:id="rId7"/>
    <sheet name="5. Resumen" sheetId="6"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4" i="3" l="1"/>
  <c r="F14" i="3"/>
  <c r="E14" i="3"/>
  <c r="D14" i="3"/>
  <c r="C32" i="5"/>
  <c r="B48" i="20"/>
  <c r="B48" i="7"/>
  <c r="B54" i="6"/>
  <c r="E34" i="6"/>
  <c r="E33" i="6"/>
  <c r="C27" i="6"/>
  <c r="C26" i="6"/>
  <c r="C25" i="6"/>
  <c r="C20" i="6"/>
  <c r="C19" i="6"/>
  <c r="C17" i="6"/>
  <c r="C11" i="6"/>
  <c r="C10" i="6"/>
  <c r="C9" i="6"/>
  <c r="C8" i="6"/>
  <c r="C7" i="6"/>
  <c r="C6" i="6"/>
  <c r="B39" i="20"/>
  <c r="P38" i="20"/>
  <c r="O38" i="20"/>
  <c r="N38" i="20"/>
  <c r="M38" i="20"/>
  <c r="L38" i="20"/>
  <c r="K38" i="20"/>
  <c r="J38" i="20"/>
  <c r="I38" i="20"/>
  <c r="H38" i="20"/>
  <c r="G38" i="20"/>
  <c r="F38" i="20"/>
  <c r="E38" i="20"/>
  <c r="D38" i="20"/>
  <c r="C38" i="20"/>
  <c r="B38" i="20"/>
  <c r="P37" i="20"/>
  <c r="O37" i="20"/>
  <c r="N37" i="20"/>
  <c r="M37" i="20"/>
  <c r="L37" i="20"/>
  <c r="K37" i="20"/>
  <c r="J37" i="20"/>
  <c r="I37" i="20"/>
  <c r="H37" i="20"/>
  <c r="G37" i="20"/>
  <c r="F37" i="20"/>
  <c r="E37" i="20"/>
  <c r="D37" i="20"/>
  <c r="C37" i="20"/>
  <c r="B37" i="20"/>
  <c r="B36" i="20"/>
  <c r="B39" i="7"/>
  <c r="P38" i="7"/>
  <c r="O38" i="7"/>
  <c r="N38" i="7"/>
  <c r="M38" i="7"/>
  <c r="L38" i="7"/>
  <c r="K38" i="7"/>
  <c r="J38" i="7"/>
  <c r="I38" i="7"/>
  <c r="H38" i="7"/>
  <c r="G38" i="7"/>
  <c r="F38" i="7"/>
  <c r="E38" i="7"/>
  <c r="D38" i="7"/>
  <c r="C38" i="7"/>
  <c r="B38" i="7"/>
  <c r="P37" i="7"/>
  <c r="O37" i="7"/>
  <c r="N37" i="7"/>
  <c r="M37" i="7"/>
  <c r="L37" i="7"/>
  <c r="K37" i="7"/>
  <c r="J37" i="7"/>
  <c r="I37" i="7"/>
  <c r="H37" i="7"/>
  <c r="G37" i="7"/>
  <c r="F37" i="7"/>
  <c r="E37" i="7"/>
  <c r="D37" i="7"/>
  <c r="C37" i="7"/>
  <c r="B37" i="7"/>
  <c r="B36" i="7"/>
  <c r="P38" i="5"/>
  <c r="O38" i="5"/>
  <c r="N38" i="5"/>
  <c r="M38" i="5"/>
  <c r="L38" i="5"/>
  <c r="K38" i="5"/>
  <c r="J38" i="5"/>
  <c r="I38" i="5"/>
  <c r="H38" i="5"/>
  <c r="G38" i="5"/>
  <c r="F38" i="5"/>
  <c r="E38" i="5"/>
  <c r="D38" i="5"/>
  <c r="P37" i="5"/>
  <c r="O37" i="5"/>
  <c r="N37" i="5"/>
  <c r="M37" i="5"/>
  <c r="L37" i="5"/>
  <c r="K37" i="5"/>
  <c r="J37" i="5"/>
  <c r="I37" i="5"/>
  <c r="H37" i="5"/>
  <c r="G37" i="5"/>
  <c r="F37" i="5"/>
  <c r="E37" i="5"/>
  <c r="D37" i="5"/>
  <c r="P46" i="20"/>
  <c r="O46" i="20"/>
  <c r="N46" i="20"/>
  <c r="M46" i="20"/>
  <c r="L46" i="20"/>
  <c r="K46" i="20"/>
  <c r="J46" i="20"/>
  <c r="I46" i="20"/>
  <c r="H46" i="20"/>
  <c r="G46" i="20"/>
  <c r="F46" i="20"/>
  <c r="E46" i="20"/>
  <c r="D46" i="20"/>
  <c r="C46" i="20"/>
  <c r="B46" i="20"/>
  <c r="P45" i="20"/>
  <c r="O45" i="20"/>
  <c r="N45" i="20"/>
  <c r="M45" i="20"/>
  <c r="L45" i="20"/>
  <c r="K45" i="20"/>
  <c r="J45" i="20"/>
  <c r="I45" i="20"/>
  <c r="H45" i="20"/>
  <c r="G45" i="20"/>
  <c r="F45" i="20"/>
  <c r="E45" i="20"/>
  <c r="D45" i="20"/>
  <c r="C45" i="20"/>
  <c r="B45" i="20"/>
  <c r="P44" i="20"/>
  <c r="O44" i="20"/>
  <c r="N44" i="20"/>
  <c r="M44" i="20"/>
  <c r="L44" i="20"/>
  <c r="K44" i="20"/>
  <c r="J44" i="20"/>
  <c r="I44" i="20"/>
  <c r="H44" i="20"/>
  <c r="G44" i="20"/>
  <c r="F44" i="20"/>
  <c r="E44" i="20"/>
  <c r="D44" i="20"/>
  <c r="C44" i="20"/>
  <c r="B44" i="20"/>
  <c r="P30" i="20"/>
  <c r="O30" i="20"/>
  <c r="N30" i="20"/>
  <c r="M30" i="20"/>
  <c r="L30" i="20"/>
  <c r="K30" i="20"/>
  <c r="J30" i="20"/>
  <c r="I30" i="20"/>
  <c r="H30" i="20"/>
  <c r="G30" i="20"/>
  <c r="F30" i="20"/>
  <c r="E30" i="20"/>
  <c r="D30" i="20"/>
  <c r="C30" i="20"/>
  <c r="B30" i="20"/>
  <c r="P29" i="20"/>
  <c r="O29" i="20"/>
  <c r="N29" i="20"/>
  <c r="M29" i="20"/>
  <c r="L29" i="20"/>
  <c r="K29" i="20"/>
  <c r="J29" i="20"/>
  <c r="I29" i="20"/>
  <c r="H29" i="20"/>
  <c r="G29" i="20"/>
  <c r="F29" i="20"/>
  <c r="E29" i="20"/>
  <c r="D29" i="20"/>
  <c r="C29" i="20"/>
  <c r="B29" i="20"/>
  <c r="P28" i="20"/>
  <c r="O28" i="20"/>
  <c r="N28" i="20"/>
  <c r="M28" i="20"/>
  <c r="L28" i="20"/>
  <c r="K28" i="20"/>
  <c r="J28" i="20"/>
  <c r="I28" i="20"/>
  <c r="H28" i="20"/>
  <c r="G28" i="20"/>
  <c r="F28" i="20"/>
  <c r="E28" i="20"/>
  <c r="D28" i="20"/>
  <c r="C28" i="20"/>
  <c r="B28" i="20"/>
  <c r="P20" i="20"/>
  <c r="O20" i="20"/>
  <c r="N20" i="20"/>
  <c r="M20" i="20"/>
  <c r="L20" i="20"/>
  <c r="K20" i="20"/>
  <c r="J20" i="20"/>
  <c r="I20" i="20"/>
  <c r="H20" i="20"/>
  <c r="G20" i="20"/>
  <c r="F20" i="20"/>
  <c r="E20" i="20"/>
  <c r="D20" i="20"/>
  <c r="C20" i="20"/>
  <c r="B20" i="20"/>
  <c r="P19" i="20"/>
  <c r="O19" i="20"/>
  <c r="N19" i="20"/>
  <c r="M19" i="20"/>
  <c r="L19" i="20"/>
  <c r="K19" i="20"/>
  <c r="J19" i="20"/>
  <c r="I19" i="20"/>
  <c r="H19" i="20"/>
  <c r="G19" i="20"/>
  <c r="F19" i="20"/>
  <c r="E19" i="20"/>
  <c r="D19" i="20"/>
  <c r="C19" i="20"/>
  <c r="B19" i="20"/>
  <c r="P18" i="20"/>
  <c r="O18" i="20"/>
  <c r="N18" i="20"/>
  <c r="M18" i="20"/>
  <c r="L18" i="20"/>
  <c r="K18" i="20"/>
  <c r="J18" i="20"/>
  <c r="I18" i="20"/>
  <c r="H18" i="20"/>
  <c r="G18" i="20"/>
  <c r="F18" i="20"/>
  <c r="E18" i="20"/>
  <c r="D18" i="20"/>
  <c r="C18" i="20"/>
  <c r="B18" i="20"/>
  <c r="P46" i="7"/>
  <c r="O46" i="7"/>
  <c r="N46" i="7"/>
  <c r="M46" i="7"/>
  <c r="L46" i="7"/>
  <c r="K46" i="7"/>
  <c r="J46" i="7"/>
  <c r="I46" i="7"/>
  <c r="H46" i="7"/>
  <c r="G46" i="7"/>
  <c r="F46" i="7"/>
  <c r="E46" i="7"/>
  <c r="D46" i="7"/>
  <c r="C46" i="7"/>
  <c r="B46" i="7"/>
  <c r="P45" i="7"/>
  <c r="O45" i="7"/>
  <c r="N45" i="7"/>
  <c r="M45" i="7"/>
  <c r="L45" i="7"/>
  <c r="K45" i="7"/>
  <c r="J45" i="7"/>
  <c r="I45" i="7"/>
  <c r="H45" i="7"/>
  <c r="G45" i="7"/>
  <c r="F45" i="7"/>
  <c r="E45" i="7"/>
  <c r="D45" i="7"/>
  <c r="C45" i="7"/>
  <c r="B45" i="7"/>
  <c r="P44" i="7"/>
  <c r="O44" i="7"/>
  <c r="N44" i="7"/>
  <c r="M44" i="7"/>
  <c r="L44" i="7"/>
  <c r="K44" i="7"/>
  <c r="J44" i="7"/>
  <c r="I44" i="7"/>
  <c r="H44" i="7"/>
  <c r="G44" i="7"/>
  <c r="F44" i="7"/>
  <c r="E44" i="7"/>
  <c r="D44" i="7"/>
  <c r="C44" i="7"/>
  <c r="B44" i="7"/>
  <c r="P30" i="7"/>
  <c r="O30" i="7"/>
  <c r="N30" i="7"/>
  <c r="M30" i="7"/>
  <c r="L30" i="7"/>
  <c r="K30" i="7"/>
  <c r="J30" i="7"/>
  <c r="I30" i="7"/>
  <c r="H30" i="7"/>
  <c r="G30" i="7"/>
  <c r="F30" i="7"/>
  <c r="E30" i="7"/>
  <c r="D30" i="7"/>
  <c r="C30" i="7"/>
  <c r="B30" i="7"/>
  <c r="P29" i="7"/>
  <c r="O29" i="7"/>
  <c r="N29" i="7"/>
  <c r="M29" i="7"/>
  <c r="L29" i="7"/>
  <c r="K29" i="7"/>
  <c r="J29" i="7"/>
  <c r="I29" i="7"/>
  <c r="H29" i="7"/>
  <c r="G29" i="7"/>
  <c r="F29" i="7"/>
  <c r="E29" i="7"/>
  <c r="D29" i="7"/>
  <c r="C29" i="7"/>
  <c r="B29" i="7"/>
  <c r="P28" i="7"/>
  <c r="O28" i="7"/>
  <c r="N28" i="7"/>
  <c r="M28" i="7"/>
  <c r="L28" i="7"/>
  <c r="K28" i="7"/>
  <c r="J28" i="7"/>
  <c r="I28" i="7"/>
  <c r="H28" i="7"/>
  <c r="G28" i="7"/>
  <c r="F28" i="7"/>
  <c r="E28" i="7"/>
  <c r="D28" i="7"/>
  <c r="C28" i="7"/>
  <c r="B28" i="7"/>
  <c r="P20" i="7"/>
  <c r="O20" i="7"/>
  <c r="N20" i="7"/>
  <c r="M20" i="7"/>
  <c r="L20" i="7"/>
  <c r="K20" i="7"/>
  <c r="J20" i="7"/>
  <c r="I20" i="7"/>
  <c r="H20" i="7"/>
  <c r="G20" i="7"/>
  <c r="F20" i="7"/>
  <c r="E20" i="7"/>
  <c r="D20" i="7"/>
  <c r="C20" i="7"/>
  <c r="B20" i="7"/>
  <c r="P19" i="7"/>
  <c r="O19" i="7"/>
  <c r="N19" i="7"/>
  <c r="M19" i="7"/>
  <c r="L19" i="7"/>
  <c r="K19" i="7"/>
  <c r="J19" i="7"/>
  <c r="I19" i="7"/>
  <c r="H19" i="7"/>
  <c r="G19" i="7"/>
  <c r="F19" i="7"/>
  <c r="E19" i="7"/>
  <c r="D19" i="7"/>
  <c r="C19" i="7"/>
  <c r="B19" i="7"/>
  <c r="P18" i="7"/>
  <c r="O18" i="7"/>
  <c r="N18" i="7"/>
  <c r="M18" i="7"/>
  <c r="L18" i="7"/>
  <c r="K18" i="7"/>
  <c r="J18" i="7"/>
  <c r="I18" i="7"/>
  <c r="H18" i="7"/>
  <c r="G18" i="7"/>
  <c r="F18" i="7"/>
  <c r="E18" i="7"/>
  <c r="D18" i="7"/>
  <c r="C18" i="7"/>
  <c r="B18" i="7"/>
  <c r="P46" i="5"/>
  <c r="O46" i="5"/>
  <c r="P45" i="5"/>
  <c r="O45" i="5"/>
  <c r="P44" i="5"/>
  <c r="O44" i="5"/>
  <c r="P30" i="5"/>
  <c r="O30" i="5"/>
  <c r="P29" i="5"/>
  <c r="O29" i="5"/>
  <c r="P28" i="5"/>
  <c r="O28" i="5"/>
  <c r="P20" i="5"/>
  <c r="O20" i="5"/>
  <c r="P19" i="5"/>
  <c r="O19" i="5"/>
  <c r="P18" i="5"/>
  <c r="O18" i="5"/>
  <c r="N43" i="20"/>
  <c r="M43" i="20"/>
  <c r="L43" i="20"/>
  <c r="K43" i="20"/>
  <c r="J43" i="20"/>
  <c r="I43" i="20"/>
  <c r="H43" i="20"/>
  <c r="G43" i="20"/>
  <c r="F43" i="20"/>
  <c r="E43" i="20"/>
  <c r="D43" i="20"/>
  <c r="C43" i="20"/>
  <c r="N42" i="20"/>
  <c r="M42" i="20"/>
  <c r="L42" i="20"/>
  <c r="K42" i="20"/>
  <c r="J42" i="20"/>
  <c r="I42" i="20"/>
  <c r="H42" i="20"/>
  <c r="G42" i="20"/>
  <c r="F42" i="20"/>
  <c r="E42" i="20"/>
  <c r="D42" i="20"/>
  <c r="C42" i="20"/>
  <c r="N41" i="20"/>
  <c r="M41" i="20"/>
  <c r="L41" i="20"/>
  <c r="K41" i="20"/>
  <c r="J41" i="20"/>
  <c r="I41" i="20"/>
  <c r="H41" i="20"/>
  <c r="G41" i="20"/>
  <c r="F41" i="20"/>
  <c r="E41" i="20"/>
  <c r="D41" i="20"/>
  <c r="C41" i="20"/>
  <c r="N34" i="20"/>
  <c r="M34" i="20"/>
  <c r="L34" i="20"/>
  <c r="K34" i="20"/>
  <c r="J34" i="20"/>
  <c r="I34" i="20"/>
  <c r="H34" i="20"/>
  <c r="G34" i="20"/>
  <c r="F34" i="20"/>
  <c r="E34" i="20"/>
  <c r="D34" i="20"/>
  <c r="C34" i="20"/>
  <c r="C33" i="20"/>
  <c r="N27" i="20"/>
  <c r="M27" i="20"/>
  <c r="L27" i="20"/>
  <c r="K27" i="20"/>
  <c r="J27" i="20"/>
  <c r="I27" i="20"/>
  <c r="H27" i="20"/>
  <c r="G27" i="20"/>
  <c r="F27" i="20"/>
  <c r="E27" i="20"/>
  <c r="D27" i="20"/>
  <c r="C27" i="20"/>
  <c r="N26" i="20"/>
  <c r="M26" i="20"/>
  <c r="L26" i="20"/>
  <c r="K26" i="20"/>
  <c r="J26" i="20"/>
  <c r="I26" i="20"/>
  <c r="H26" i="20"/>
  <c r="G26" i="20"/>
  <c r="F26" i="20"/>
  <c r="E26" i="20"/>
  <c r="D26" i="20"/>
  <c r="C26" i="20"/>
  <c r="N25" i="20"/>
  <c r="M25" i="20"/>
  <c r="L25" i="20"/>
  <c r="K25" i="20"/>
  <c r="J25" i="20"/>
  <c r="I25" i="20"/>
  <c r="H25" i="20"/>
  <c r="G25" i="20"/>
  <c r="F25" i="20"/>
  <c r="E25" i="20"/>
  <c r="D25" i="20"/>
  <c r="C25" i="20"/>
  <c r="N24" i="20"/>
  <c r="M24" i="20"/>
  <c r="L24" i="20"/>
  <c r="K24" i="20"/>
  <c r="J24" i="20"/>
  <c r="I24" i="20"/>
  <c r="H24" i="20"/>
  <c r="G24" i="20"/>
  <c r="F24" i="20"/>
  <c r="E24" i="20"/>
  <c r="D24" i="20"/>
  <c r="C24" i="20"/>
  <c r="N23" i="20"/>
  <c r="M23" i="20"/>
  <c r="L23" i="20"/>
  <c r="K23" i="20"/>
  <c r="J23" i="20"/>
  <c r="I23" i="20"/>
  <c r="H23" i="20"/>
  <c r="G23" i="20"/>
  <c r="F23" i="20"/>
  <c r="E23" i="20"/>
  <c r="D23" i="20"/>
  <c r="C23" i="20"/>
  <c r="N22" i="20"/>
  <c r="M22" i="20"/>
  <c r="L22" i="20"/>
  <c r="K22" i="20"/>
  <c r="J22" i="20"/>
  <c r="I22" i="20"/>
  <c r="H22" i="20"/>
  <c r="G22" i="20"/>
  <c r="F22" i="20"/>
  <c r="E22" i="20"/>
  <c r="D22" i="20"/>
  <c r="C22" i="20"/>
  <c r="N17" i="20"/>
  <c r="M17" i="20"/>
  <c r="L17" i="20"/>
  <c r="K17" i="20"/>
  <c r="J17" i="20"/>
  <c r="I17" i="20"/>
  <c r="H17" i="20"/>
  <c r="G17" i="20"/>
  <c r="F17" i="20"/>
  <c r="E17" i="20"/>
  <c r="D17" i="20"/>
  <c r="C17" i="20"/>
  <c r="N16" i="20"/>
  <c r="M16" i="20"/>
  <c r="L16" i="20"/>
  <c r="K16" i="20"/>
  <c r="J16" i="20"/>
  <c r="I16" i="20"/>
  <c r="H16" i="20"/>
  <c r="G16" i="20"/>
  <c r="F16" i="20"/>
  <c r="E16" i="20"/>
  <c r="D16" i="20"/>
  <c r="C16" i="20"/>
  <c r="N15" i="20"/>
  <c r="M15" i="20"/>
  <c r="L15" i="20"/>
  <c r="K15" i="20"/>
  <c r="J15" i="20"/>
  <c r="I15" i="20"/>
  <c r="H15" i="20"/>
  <c r="G15" i="20"/>
  <c r="F15" i="20"/>
  <c r="E15" i="20"/>
  <c r="D15" i="20"/>
  <c r="C15" i="20"/>
  <c r="N14" i="20"/>
  <c r="M14" i="20"/>
  <c r="L14" i="20"/>
  <c r="K14" i="20"/>
  <c r="J14" i="20"/>
  <c r="I14" i="20"/>
  <c r="H14" i="20"/>
  <c r="G14" i="20"/>
  <c r="F14" i="20"/>
  <c r="E14" i="20"/>
  <c r="D14" i="20"/>
  <c r="C14" i="20"/>
  <c r="N10" i="20"/>
  <c r="M10" i="20"/>
  <c r="L10" i="20"/>
  <c r="K10" i="20"/>
  <c r="J10" i="20"/>
  <c r="I10" i="20"/>
  <c r="H10" i="20"/>
  <c r="G10" i="20"/>
  <c r="F10" i="20"/>
  <c r="E10" i="20"/>
  <c r="D10" i="20"/>
  <c r="C10" i="20"/>
  <c r="N43" i="7"/>
  <c r="M43" i="7"/>
  <c r="L43" i="7"/>
  <c r="K43" i="7"/>
  <c r="J43" i="7"/>
  <c r="I43" i="7"/>
  <c r="H43" i="7"/>
  <c r="G43" i="7"/>
  <c r="F43" i="7"/>
  <c r="E43" i="7"/>
  <c r="D43" i="7"/>
  <c r="C43" i="7"/>
  <c r="N42" i="7"/>
  <c r="M42" i="7"/>
  <c r="L42" i="7"/>
  <c r="K42" i="7"/>
  <c r="J42" i="7"/>
  <c r="I42" i="7"/>
  <c r="H42" i="7"/>
  <c r="G42" i="7"/>
  <c r="F42" i="7"/>
  <c r="E42" i="7"/>
  <c r="D42" i="7"/>
  <c r="C42" i="7"/>
  <c r="N41" i="7"/>
  <c r="M41" i="7"/>
  <c r="L41" i="7"/>
  <c r="K41" i="7"/>
  <c r="J41" i="7"/>
  <c r="I41" i="7"/>
  <c r="H41" i="7"/>
  <c r="G41" i="7"/>
  <c r="F41" i="7"/>
  <c r="E41" i="7"/>
  <c r="D41" i="7"/>
  <c r="C41" i="7"/>
  <c r="N34" i="7"/>
  <c r="M34" i="7"/>
  <c r="L34" i="7"/>
  <c r="K34" i="7"/>
  <c r="J34" i="7"/>
  <c r="I34" i="7"/>
  <c r="H34" i="7"/>
  <c r="G34" i="7"/>
  <c r="F34" i="7"/>
  <c r="E34" i="7"/>
  <c r="D34" i="7"/>
  <c r="C34" i="7"/>
  <c r="C33" i="7"/>
  <c r="N27" i="7"/>
  <c r="M27" i="7"/>
  <c r="L27" i="7"/>
  <c r="K27" i="7"/>
  <c r="J27" i="7"/>
  <c r="I27" i="7"/>
  <c r="H27" i="7"/>
  <c r="G27" i="7"/>
  <c r="F27" i="7"/>
  <c r="E27" i="7"/>
  <c r="D27" i="7"/>
  <c r="C27" i="7"/>
  <c r="N26" i="7"/>
  <c r="M26" i="7"/>
  <c r="L26" i="7"/>
  <c r="K26" i="7"/>
  <c r="J26" i="7"/>
  <c r="I26" i="7"/>
  <c r="H26" i="7"/>
  <c r="G26" i="7"/>
  <c r="F26" i="7"/>
  <c r="E26" i="7"/>
  <c r="D26" i="7"/>
  <c r="C26" i="7"/>
  <c r="N25" i="7"/>
  <c r="M25" i="7"/>
  <c r="L25" i="7"/>
  <c r="K25" i="7"/>
  <c r="J25" i="7"/>
  <c r="I25" i="7"/>
  <c r="H25" i="7"/>
  <c r="G25" i="7"/>
  <c r="F25" i="7"/>
  <c r="E25" i="7"/>
  <c r="D25" i="7"/>
  <c r="C25" i="7"/>
  <c r="N24" i="7"/>
  <c r="M24" i="7"/>
  <c r="L24" i="7"/>
  <c r="K24" i="7"/>
  <c r="J24" i="7"/>
  <c r="I24" i="7"/>
  <c r="H24" i="7"/>
  <c r="G24" i="7"/>
  <c r="F24" i="7"/>
  <c r="E24" i="7"/>
  <c r="D24" i="7"/>
  <c r="C24" i="7"/>
  <c r="N23" i="7"/>
  <c r="M23" i="7"/>
  <c r="L23" i="7"/>
  <c r="K23" i="7"/>
  <c r="J23" i="7"/>
  <c r="I23" i="7"/>
  <c r="H23" i="7"/>
  <c r="G23" i="7"/>
  <c r="F23" i="7"/>
  <c r="E23" i="7"/>
  <c r="D23" i="7"/>
  <c r="C23" i="7"/>
  <c r="N22" i="7"/>
  <c r="M22" i="7"/>
  <c r="L22" i="7"/>
  <c r="K22" i="7"/>
  <c r="J22" i="7"/>
  <c r="I22" i="7"/>
  <c r="H22" i="7"/>
  <c r="G22" i="7"/>
  <c r="F22" i="7"/>
  <c r="E22" i="7"/>
  <c r="D22" i="7"/>
  <c r="C22" i="7"/>
  <c r="N17" i="7"/>
  <c r="M17" i="7"/>
  <c r="L17" i="7"/>
  <c r="K17" i="7"/>
  <c r="J17" i="7"/>
  <c r="I17" i="7"/>
  <c r="H17" i="7"/>
  <c r="G17" i="7"/>
  <c r="F17" i="7"/>
  <c r="E17" i="7"/>
  <c r="D17" i="7"/>
  <c r="C17" i="7"/>
  <c r="N16" i="7"/>
  <c r="M16" i="7"/>
  <c r="L16" i="7"/>
  <c r="K16" i="7"/>
  <c r="J16" i="7"/>
  <c r="I16" i="7"/>
  <c r="H16" i="7"/>
  <c r="G16" i="7"/>
  <c r="F16" i="7"/>
  <c r="E16" i="7"/>
  <c r="D16" i="7"/>
  <c r="C16" i="7"/>
  <c r="N15" i="7"/>
  <c r="M15" i="7"/>
  <c r="L15" i="7"/>
  <c r="K15" i="7"/>
  <c r="J15" i="7"/>
  <c r="I15" i="7"/>
  <c r="H15" i="7"/>
  <c r="G15" i="7"/>
  <c r="F15" i="7"/>
  <c r="E15" i="7"/>
  <c r="D15" i="7"/>
  <c r="C15" i="7"/>
  <c r="N14" i="7"/>
  <c r="M14" i="7"/>
  <c r="L14" i="7"/>
  <c r="K14" i="7"/>
  <c r="J14" i="7"/>
  <c r="I14" i="7"/>
  <c r="H14" i="7"/>
  <c r="G14" i="7"/>
  <c r="F14" i="7"/>
  <c r="E14" i="7"/>
  <c r="D14" i="7"/>
  <c r="C14" i="7"/>
  <c r="N10" i="7"/>
  <c r="M10" i="7"/>
  <c r="L10" i="7"/>
  <c r="K10" i="7"/>
  <c r="J10" i="7"/>
  <c r="I10" i="7"/>
  <c r="H10" i="7"/>
  <c r="G10" i="7"/>
  <c r="F10" i="7"/>
  <c r="E10" i="7"/>
  <c r="D10" i="7"/>
  <c r="C10" i="7"/>
  <c r="N6" i="20"/>
  <c r="N5" i="20"/>
  <c r="M6" i="20"/>
  <c r="M5" i="20"/>
  <c r="L6" i="20"/>
  <c r="L5" i="20"/>
  <c r="K6" i="20"/>
  <c r="K5" i="20"/>
  <c r="J6" i="20"/>
  <c r="J5" i="20"/>
  <c r="J8" i="20" s="1"/>
  <c r="I6" i="20"/>
  <c r="I5" i="20"/>
  <c r="H6" i="20"/>
  <c r="H5" i="20"/>
  <c r="G6" i="20"/>
  <c r="G5" i="20"/>
  <c r="F6" i="20"/>
  <c r="F5" i="20"/>
  <c r="F8" i="20" s="1"/>
  <c r="F12" i="20" s="1"/>
  <c r="E6" i="20"/>
  <c r="E5" i="20"/>
  <c r="D6" i="20"/>
  <c r="D5" i="20"/>
  <c r="C6" i="20"/>
  <c r="C5" i="20"/>
  <c r="B57" i="20"/>
  <c r="C52" i="20"/>
  <c r="I52" i="20" s="1"/>
  <c r="N35" i="20"/>
  <c r="M35" i="20"/>
  <c r="L35" i="20"/>
  <c r="K35" i="20"/>
  <c r="J35" i="20"/>
  <c r="I35" i="20"/>
  <c r="H35" i="20"/>
  <c r="G35" i="20"/>
  <c r="F35" i="20"/>
  <c r="E35" i="20"/>
  <c r="D35" i="20"/>
  <c r="O9" i="20"/>
  <c r="N9" i="20"/>
  <c r="M9" i="20"/>
  <c r="L9" i="20"/>
  <c r="K9" i="20"/>
  <c r="J9" i="20"/>
  <c r="I9" i="20"/>
  <c r="H9" i="20"/>
  <c r="G9" i="20"/>
  <c r="F9" i="20"/>
  <c r="F11" i="20" s="1"/>
  <c r="E9" i="20"/>
  <c r="D9" i="20"/>
  <c r="C9" i="20"/>
  <c r="N8" i="20"/>
  <c r="N12" i="20" s="1"/>
  <c r="G8" i="20"/>
  <c r="G12" i="20" s="1"/>
  <c r="P7" i="20"/>
  <c r="K8" i="20"/>
  <c r="I11" i="20" l="1"/>
  <c r="H11" i="20"/>
  <c r="I8" i="20"/>
  <c r="C11" i="20"/>
  <c r="O35" i="20"/>
  <c r="P35" i="20" s="1"/>
  <c r="D8" i="20"/>
  <c r="D12" i="20" s="1"/>
  <c r="H8" i="20"/>
  <c r="L8" i="20"/>
  <c r="L12" i="20" s="1"/>
  <c r="E8" i="20"/>
  <c r="E12" i="20" s="1"/>
  <c r="E48" i="20" s="1"/>
  <c r="M8" i="20"/>
  <c r="M12" i="20" s="1"/>
  <c r="M48" i="20" s="1"/>
  <c r="K11" i="20"/>
  <c r="J52" i="20"/>
  <c r="L52" i="20"/>
  <c r="M52" i="20"/>
  <c r="J11" i="20"/>
  <c r="O6" i="20"/>
  <c r="D52" i="20"/>
  <c r="O52" i="20"/>
  <c r="E52" i="20"/>
  <c r="F52" i="20"/>
  <c r="N11" i="20"/>
  <c r="N52" i="20"/>
  <c r="G52" i="20"/>
  <c r="D11" i="20"/>
  <c r="O16" i="20"/>
  <c r="P16" i="20" s="1"/>
  <c r="O41" i="20"/>
  <c r="P41" i="20" s="1"/>
  <c r="L11" i="20"/>
  <c r="O43" i="20"/>
  <c r="P43" i="20" s="1"/>
  <c r="O34" i="20"/>
  <c r="P34" i="20" s="1"/>
  <c r="O15" i="20"/>
  <c r="P15" i="20" s="1"/>
  <c r="O10" i="20"/>
  <c r="P10" i="20" s="1"/>
  <c r="O17" i="20"/>
  <c r="P17" i="20" s="1"/>
  <c r="O22" i="20"/>
  <c r="P22" i="20" s="1"/>
  <c r="O25" i="20"/>
  <c r="P25" i="20" s="1"/>
  <c r="O42" i="20"/>
  <c r="P42" i="20" s="1"/>
  <c r="O27" i="20"/>
  <c r="P27" i="20" s="1"/>
  <c r="O14" i="20"/>
  <c r="P14" i="20" s="1"/>
  <c r="O26" i="20"/>
  <c r="P26" i="20" s="1"/>
  <c r="E11" i="20"/>
  <c r="M11" i="20"/>
  <c r="G11" i="20"/>
  <c r="O24" i="20"/>
  <c r="P24" i="20" s="1"/>
  <c r="O23" i="20"/>
  <c r="P23" i="20" s="1"/>
  <c r="O5" i="20"/>
  <c r="G48" i="20"/>
  <c r="F48" i="20"/>
  <c r="K12" i="20"/>
  <c r="J12" i="20"/>
  <c r="N48" i="20"/>
  <c r="I12" i="20"/>
  <c r="C8" i="20"/>
  <c r="K52" i="20"/>
  <c r="H52" i="20"/>
  <c r="P52" i="20"/>
  <c r="H12" i="20" l="1"/>
  <c r="O11" i="20"/>
  <c r="P11" i="20" s="1"/>
  <c r="J48" i="20"/>
  <c r="K48" i="20"/>
  <c r="I48" i="20"/>
  <c r="L48" i="20"/>
  <c r="O8" i="20"/>
  <c r="P8" i="20" s="1"/>
  <c r="C12" i="20"/>
  <c r="H48" i="20"/>
  <c r="D48" i="20"/>
  <c r="O12" i="20" l="1"/>
  <c r="P12" i="20" s="1"/>
  <c r="C48" i="20"/>
  <c r="O48" i="20" l="1"/>
  <c r="P48" i="20" s="1"/>
  <c r="O4" i="4" l="1"/>
  <c r="N4" i="4"/>
  <c r="K4" i="4"/>
  <c r="J4" i="4"/>
  <c r="AC15" i="3"/>
  <c r="AD3" i="3"/>
  <c r="Y3" i="3"/>
  <c r="L3" i="3"/>
  <c r="K3" i="3"/>
  <c r="L14" i="3"/>
  <c r="C21" i="6" s="1"/>
  <c r="K14" i="3"/>
  <c r="L13" i="3"/>
  <c r="K13" i="3"/>
  <c r="L12" i="3"/>
  <c r="K12" i="3"/>
  <c r="L11" i="3"/>
  <c r="K11" i="3"/>
  <c r="L10" i="3"/>
  <c r="K10" i="3"/>
  <c r="L9" i="3"/>
  <c r="K9" i="3"/>
  <c r="L8" i="3"/>
  <c r="K8" i="3"/>
  <c r="L7" i="3"/>
  <c r="K7" i="3"/>
  <c r="L6" i="3"/>
  <c r="K6" i="3"/>
  <c r="L5" i="3"/>
  <c r="K5" i="3"/>
  <c r="L4" i="3"/>
  <c r="K4" i="3"/>
  <c r="K9" i="4"/>
  <c r="J9" i="4"/>
  <c r="K8" i="4"/>
  <c r="J8" i="4"/>
  <c r="K7" i="4"/>
  <c r="J7" i="4"/>
  <c r="K6" i="4"/>
  <c r="J6" i="4"/>
  <c r="K5" i="4"/>
  <c r="J5" i="4"/>
  <c r="H15" i="3"/>
  <c r="D19" i="6" s="1"/>
  <c r="I15" i="3"/>
  <c r="D20" i="6" s="1"/>
  <c r="B57" i="7"/>
  <c r="C52" i="7"/>
  <c r="I52" i="7" s="1"/>
  <c r="O43" i="7"/>
  <c r="P43" i="7" s="1"/>
  <c r="O42" i="7"/>
  <c r="P42" i="7" s="1"/>
  <c r="O41" i="7"/>
  <c r="P41" i="7" s="1"/>
  <c r="N35" i="7"/>
  <c r="M35" i="7"/>
  <c r="L35" i="7"/>
  <c r="K35" i="7"/>
  <c r="J35" i="7"/>
  <c r="I35" i="7"/>
  <c r="H35" i="7"/>
  <c r="G35" i="7"/>
  <c r="F35" i="7"/>
  <c r="E35" i="7"/>
  <c r="D35" i="7"/>
  <c r="O34" i="7"/>
  <c r="P34" i="7" s="1"/>
  <c r="O27" i="7"/>
  <c r="P27" i="7" s="1"/>
  <c r="O26" i="7"/>
  <c r="P26" i="7" s="1"/>
  <c r="O25" i="7"/>
  <c r="P25" i="7" s="1"/>
  <c r="O24" i="7"/>
  <c r="P24" i="7" s="1"/>
  <c r="O23" i="7"/>
  <c r="P23" i="7" s="1"/>
  <c r="O22" i="7"/>
  <c r="P22" i="7" s="1"/>
  <c r="O17" i="7"/>
  <c r="P17" i="7" s="1"/>
  <c r="O16" i="7"/>
  <c r="P16" i="7" s="1"/>
  <c r="O15" i="7"/>
  <c r="P15" i="7" s="1"/>
  <c r="O14" i="7"/>
  <c r="P14" i="7" s="1"/>
  <c r="O10" i="7"/>
  <c r="P10" i="7" s="1"/>
  <c r="O9" i="7"/>
  <c r="N9" i="7"/>
  <c r="N11" i="7" s="1"/>
  <c r="M9" i="7"/>
  <c r="M11" i="7" s="1"/>
  <c r="L9" i="7"/>
  <c r="L11" i="7" s="1"/>
  <c r="K9" i="7"/>
  <c r="K11" i="7" s="1"/>
  <c r="J9" i="7"/>
  <c r="J11" i="7" s="1"/>
  <c r="I9" i="7"/>
  <c r="I11" i="7" s="1"/>
  <c r="H9" i="7"/>
  <c r="H11" i="7" s="1"/>
  <c r="G9" i="7"/>
  <c r="G11" i="7" s="1"/>
  <c r="F9" i="7"/>
  <c r="F11" i="7" s="1"/>
  <c r="E9" i="7"/>
  <c r="E11" i="7" s="1"/>
  <c r="D9" i="7"/>
  <c r="D11" i="7" s="1"/>
  <c r="C9" i="7"/>
  <c r="C11" i="7" s="1"/>
  <c r="P7" i="7"/>
  <c r="N6" i="5"/>
  <c r="M6" i="5"/>
  <c r="L6" i="5"/>
  <c r="K6" i="5"/>
  <c r="J6" i="5"/>
  <c r="I6" i="5"/>
  <c r="H6" i="5"/>
  <c r="G6" i="5"/>
  <c r="F6" i="5"/>
  <c r="E6" i="5"/>
  <c r="D6" i="5"/>
  <c r="C6" i="5"/>
  <c r="N5" i="5"/>
  <c r="M5" i="5"/>
  <c r="L5" i="5"/>
  <c r="K5" i="5"/>
  <c r="J5" i="5"/>
  <c r="I5" i="5"/>
  <c r="H5" i="5"/>
  <c r="G5" i="5"/>
  <c r="F5" i="5"/>
  <c r="E5" i="5"/>
  <c r="D5" i="5"/>
  <c r="C5" i="5"/>
  <c r="B57" i="5"/>
  <c r="B17" i="4"/>
  <c r="B18" i="3"/>
  <c r="AD14" i="3"/>
  <c r="AD13" i="3"/>
  <c r="AD12" i="3"/>
  <c r="AD11" i="3"/>
  <c r="AD10" i="3"/>
  <c r="AD9" i="3"/>
  <c r="AD8" i="3"/>
  <c r="AD7" i="3"/>
  <c r="AD6" i="3"/>
  <c r="AD5" i="3"/>
  <c r="AD4" i="3"/>
  <c r="C52" i="5"/>
  <c r="K52" i="5" s="1"/>
  <c r="O43" i="5"/>
  <c r="P43" i="5" s="1"/>
  <c r="O42" i="5"/>
  <c r="P42" i="5" s="1"/>
  <c r="O41" i="5"/>
  <c r="P41" i="5" s="1"/>
  <c r="N35" i="5"/>
  <c r="M35" i="5"/>
  <c r="L35" i="5"/>
  <c r="K35" i="5"/>
  <c r="J35" i="5"/>
  <c r="I35" i="5"/>
  <c r="H35" i="5"/>
  <c r="G35" i="5"/>
  <c r="F35" i="5"/>
  <c r="E35" i="5"/>
  <c r="D35" i="5"/>
  <c r="O34" i="5"/>
  <c r="P34" i="5" s="1"/>
  <c r="N33" i="5"/>
  <c r="M33" i="5"/>
  <c r="L33" i="5"/>
  <c r="K33" i="5"/>
  <c r="J33" i="5"/>
  <c r="I33" i="5"/>
  <c r="H33" i="5"/>
  <c r="G33" i="5"/>
  <c r="F33" i="5"/>
  <c r="E33" i="5"/>
  <c r="D33" i="5"/>
  <c r="O27" i="5"/>
  <c r="P27" i="5" s="1"/>
  <c r="O26" i="5"/>
  <c r="P26" i="5" s="1"/>
  <c r="O25" i="5"/>
  <c r="P25" i="5" s="1"/>
  <c r="O24" i="5"/>
  <c r="P24" i="5" s="1"/>
  <c r="O23" i="5"/>
  <c r="P23" i="5" s="1"/>
  <c r="O22" i="5"/>
  <c r="P22" i="5" s="1"/>
  <c r="O17" i="5"/>
  <c r="P17" i="5" s="1"/>
  <c r="O16" i="5"/>
  <c r="P16" i="5" s="1"/>
  <c r="O15" i="5"/>
  <c r="P15" i="5" s="1"/>
  <c r="O14" i="5"/>
  <c r="P14" i="5" s="1"/>
  <c r="O10" i="5"/>
  <c r="P10" i="5" s="1"/>
  <c r="O9" i="5"/>
  <c r="N9" i="5"/>
  <c r="N11" i="5" s="1"/>
  <c r="M9" i="5"/>
  <c r="M11" i="5" s="1"/>
  <c r="L9" i="5"/>
  <c r="L11" i="5" s="1"/>
  <c r="K9" i="5"/>
  <c r="K11" i="5" s="1"/>
  <c r="J9" i="5"/>
  <c r="J11" i="5" s="1"/>
  <c r="I9" i="5"/>
  <c r="I11" i="5" s="1"/>
  <c r="H9" i="5"/>
  <c r="H11" i="5" s="1"/>
  <c r="G9" i="5"/>
  <c r="G11" i="5" s="1"/>
  <c r="F9" i="5"/>
  <c r="F11" i="5" s="1"/>
  <c r="E9" i="5"/>
  <c r="E11" i="5" s="1"/>
  <c r="D9" i="5"/>
  <c r="D11" i="5" s="1"/>
  <c r="C9" i="5"/>
  <c r="P7" i="5"/>
  <c r="C14" i="4"/>
  <c r="N9" i="4"/>
  <c r="O9" i="4" s="1"/>
  <c r="N8" i="4"/>
  <c r="O8" i="4" s="1"/>
  <c r="N7" i="4"/>
  <c r="O7" i="4" s="1"/>
  <c r="N6" i="4"/>
  <c r="O6" i="4" s="1"/>
  <c r="N5" i="4"/>
  <c r="O5" i="4" s="1"/>
  <c r="Z15" i="3"/>
  <c r="X15" i="3"/>
  <c r="N5" i="7" s="1"/>
  <c r="W15" i="3"/>
  <c r="M5" i="7" s="1"/>
  <c r="V15" i="3"/>
  <c r="L5" i="7" s="1"/>
  <c r="U15" i="3"/>
  <c r="K5" i="7" s="1"/>
  <c r="T15" i="3"/>
  <c r="J5" i="7" s="1"/>
  <c r="S15" i="3"/>
  <c r="I5" i="7" s="1"/>
  <c r="R15" i="3"/>
  <c r="H5" i="7" s="1"/>
  <c r="Q15" i="3"/>
  <c r="G5" i="7" s="1"/>
  <c r="P15" i="3"/>
  <c r="F5" i="7" s="1"/>
  <c r="O15" i="3"/>
  <c r="E5" i="7" s="1"/>
  <c r="N15" i="3"/>
  <c r="D5" i="7" s="1"/>
  <c r="M15" i="3"/>
  <c r="C5" i="7" s="1"/>
  <c r="Y14" i="3"/>
  <c r="C16" i="6" s="1"/>
  <c r="Y13" i="3"/>
  <c r="Y12" i="3"/>
  <c r="Y11" i="3"/>
  <c r="Y10" i="3"/>
  <c r="Y9" i="3"/>
  <c r="Y8" i="3"/>
  <c r="Y7" i="3"/>
  <c r="Y6" i="3"/>
  <c r="Y5" i="3"/>
  <c r="Y4" i="3"/>
  <c r="C25" i="2"/>
  <c r="G8" i="5" l="1"/>
  <c r="G12" i="5" s="1"/>
  <c r="G48" i="5" s="1"/>
  <c r="I6" i="7"/>
  <c r="I8" i="7" s="1"/>
  <c r="D17" i="6"/>
  <c r="E17" i="6" s="1"/>
  <c r="AA3" i="3"/>
  <c r="AB3" i="3" s="1"/>
  <c r="G39" i="5"/>
  <c r="N32" i="5"/>
  <c r="C32" i="20"/>
  <c r="C32" i="7"/>
  <c r="M32" i="7" s="1"/>
  <c r="O35" i="7"/>
  <c r="P35" i="7" s="1"/>
  <c r="M32" i="5"/>
  <c r="F33" i="20"/>
  <c r="F33" i="7"/>
  <c r="N33" i="20"/>
  <c r="N33" i="7"/>
  <c r="K33" i="7"/>
  <c r="K33" i="20"/>
  <c r="L33" i="20"/>
  <c r="L33" i="7"/>
  <c r="E33" i="20"/>
  <c r="E33" i="7"/>
  <c r="G33" i="20"/>
  <c r="G33" i="7"/>
  <c r="H33" i="20"/>
  <c r="H33" i="7"/>
  <c r="O33" i="5"/>
  <c r="P33" i="5" s="1"/>
  <c r="D33" i="20"/>
  <c r="D33" i="7"/>
  <c r="M33" i="20"/>
  <c r="M33" i="7"/>
  <c r="I33" i="7"/>
  <c r="I33" i="20"/>
  <c r="O35" i="5"/>
  <c r="P35" i="5" s="1"/>
  <c r="E8" i="5"/>
  <c r="E12" i="5" s="1"/>
  <c r="E48" i="5" s="1"/>
  <c r="I32" i="5"/>
  <c r="J33" i="20"/>
  <c r="J33" i="7"/>
  <c r="N8" i="5"/>
  <c r="N12" i="5" s="1"/>
  <c r="N48" i="5" s="1"/>
  <c r="M8" i="5"/>
  <c r="M12" i="5" s="1"/>
  <c r="M48" i="5" s="1"/>
  <c r="H8" i="5"/>
  <c r="H12" i="5" s="1"/>
  <c r="H48" i="5" s="1"/>
  <c r="F8" i="5"/>
  <c r="F12" i="5" s="1"/>
  <c r="F48" i="5" s="1"/>
  <c r="I8" i="5"/>
  <c r="I12" i="5" s="1"/>
  <c r="I48" i="5" s="1"/>
  <c r="J8" i="5"/>
  <c r="J12" i="5" s="1"/>
  <c r="J48" i="5" s="1"/>
  <c r="C8" i="5"/>
  <c r="C12" i="5" s="1"/>
  <c r="C48" i="5" s="1"/>
  <c r="K8" i="5"/>
  <c r="K12" i="5" s="1"/>
  <c r="K48" i="5" s="1"/>
  <c r="D8" i="5"/>
  <c r="D12" i="5" s="1"/>
  <c r="D48" i="5" s="1"/>
  <c r="L8" i="5"/>
  <c r="L12" i="5" s="1"/>
  <c r="L48" i="5" s="1"/>
  <c r="AD15" i="3"/>
  <c r="N6" i="7"/>
  <c r="N8" i="7" s="1"/>
  <c r="C6" i="7"/>
  <c r="C8" i="7" s="1"/>
  <c r="D6" i="7"/>
  <c r="D8" i="7" s="1"/>
  <c r="F6" i="7"/>
  <c r="F8" i="7" s="1"/>
  <c r="J6" i="7"/>
  <c r="J8" i="7" s="1"/>
  <c r="H6" i="7"/>
  <c r="H8" i="7" s="1"/>
  <c r="K6" i="7"/>
  <c r="K8" i="7" s="1"/>
  <c r="K12" i="7" s="1"/>
  <c r="K48" i="7" s="1"/>
  <c r="L6" i="7"/>
  <c r="L8" i="7" s="1"/>
  <c r="L12" i="7" s="1"/>
  <c r="L48" i="7" s="1"/>
  <c r="L15" i="3"/>
  <c r="D21" i="6" s="1"/>
  <c r="L32" i="5"/>
  <c r="E32" i="5"/>
  <c r="G32" i="5"/>
  <c r="D32" i="5"/>
  <c r="H32" i="5"/>
  <c r="AA12" i="3"/>
  <c r="AB12" i="3" s="1"/>
  <c r="AA5" i="3"/>
  <c r="AB5" i="3" s="1"/>
  <c r="AA6" i="3"/>
  <c r="AB6" i="3" s="1"/>
  <c r="AA8" i="3"/>
  <c r="AB8" i="3" s="1"/>
  <c r="AA9" i="3"/>
  <c r="AB9" i="3" s="1"/>
  <c r="AA11" i="3"/>
  <c r="AB11" i="3" s="1"/>
  <c r="AA4" i="3"/>
  <c r="AA13" i="3"/>
  <c r="AB13" i="3" s="1"/>
  <c r="AA14" i="3"/>
  <c r="AA7" i="3"/>
  <c r="AB7" i="3" s="1"/>
  <c r="AA10" i="3"/>
  <c r="AB10" i="3" s="1"/>
  <c r="L52" i="5"/>
  <c r="M52" i="5"/>
  <c r="D52" i="5"/>
  <c r="E52" i="5"/>
  <c r="J52" i="7"/>
  <c r="I52" i="5"/>
  <c r="O5" i="7"/>
  <c r="E6" i="7"/>
  <c r="E8" i="7" s="1"/>
  <c r="M6" i="7"/>
  <c r="M8" i="7" s="1"/>
  <c r="G6" i="7"/>
  <c r="C13" i="4"/>
  <c r="C12" i="4"/>
  <c r="L52" i="7"/>
  <c r="M52" i="7"/>
  <c r="N52" i="7"/>
  <c r="G52" i="7"/>
  <c r="O52" i="7"/>
  <c r="F52" i="7"/>
  <c r="O11" i="7"/>
  <c r="P11" i="7" s="1"/>
  <c r="H52" i="7"/>
  <c r="P52" i="7"/>
  <c r="K52" i="7"/>
  <c r="D52" i="7"/>
  <c r="E52" i="7"/>
  <c r="Y15" i="3"/>
  <c r="D16" i="6" s="1"/>
  <c r="E16" i="6" s="1"/>
  <c r="J32" i="5"/>
  <c r="F52" i="5"/>
  <c r="N52" i="5"/>
  <c r="C11" i="5"/>
  <c r="K32" i="5"/>
  <c r="G52" i="5"/>
  <c r="O52" i="5"/>
  <c r="H52" i="5"/>
  <c r="P52" i="5"/>
  <c r="F32" i="5"/>
  <c r="J52" i="5"/>
  <c r="J39" i="5" l="1"/>
  <c r="D39" i="5"/>
  <c r="N39" i="5"/>
  <c r="N39" i="7" s="1"/>
  <c r="E39" i="5"/>
  <c r="E39" i="7" s="1"/>
  <c r="C39" i="5"/>
  <c r="C39" i="20" s="1"/>
  <c r="I39" i="5"/>
  <c r="I39" i="20" s="1"/>
  <c r="L39" i="5"/>
  <c r="L39" i="7" s="1"/>
  <c r="M39" i="5"/>
  <c r="M39" i="7" s="1"/>
  <c r="K39" i="5"/>
  <c r="K39" i="7" s="1"/>
  <c r="F39" i="5"/>
  <c r="H39" i="5"/>
  <c r="G39" i="7"/>
  <c r="G39" i="20"/>
  <c r="H39" i="20"/>
  <c r="H39" i="7"/>
  <c r="D39" i="7"/>
  <c r="D39" i="20"/>
  <c r="J39" i="20"/>
  <c r="J39" i="7"/>
  <c r="AB14" i="3"/>
  <c r="C18" i="6"/>
  <c r="F39" i="20"/>
  <c r="F39" i="7"/>
  <c r="F32" i="7"/>
  <c r="G32" i="7"/>
  <c r="K32" i="7"/>
  <c r="J32" i="7"/>
  <c r="E32" i="7"/>
  <c r="H32" i="7"/>
  <c r="I32" i="7"/>
  <c r="L32" i="7"/>
  <c r="D32" i="7"/>
  <c r="N32" i="7"/>
  <c r="M32" i="20"/>
  <c r="F32" i="20"/>
  <c r="K32" i="20"/>
  <c r="D32" i="20"/>
  <c r="N32" i="20"/>
  <c r="L32" i="20"/>
  <c r="H32" i="20"/>
  <c r="I32" i="20"/>
  <c r="J32" i="20"/>
  <c r="G32" i="20"/>
  <c r="E32" i="20"/>
  <c r="O33" i="7"/>
  <c r="P33" i="7" s="1"/>
  <c r="O33" i="20"/>
  <c r="P33" i="20" s="1"/>
  <c r="N12" i="7"/>
  <c r="N48" i="7" s="1"/>
  <c r="H12" i="7"/>
  <c r="H48" i="7" s="1"/>
  <c r="J12" i="7"/>
  <c r="J48" i="7" s="1"/>
  <c r="D12" i="7"/>
  <c r="D48" i="7" s="1"/>
  <c r="O32" i="5"/>
  <c r="P32" i="5" s="1"/>
  <c r="AB4" i="3"/>
  <c r="AA15" i="3"/>
  <c r="M12" i="7"/>
  <c r="M48" i="7" s="1"/>
  <c r="E12" i="7"/>
  <c r="E48" i="7" s="1"/>
  <c r="I12" i="7"/>
  <c r="I48" i="7" s="1"/>
  <c r="O6" i="7"/>
  <c r="G8" i="7"/>
  <c r="O8" i="7" s="1"/>
  <c r="P8" i="7" s="1"/>
  <c r="F12" i="7"/>
  <c r="F48" i="7" s="1"/>
  <c r="C12" i="7"/>
  <c r="C48" i="7" s="1"/>
  <c r="O6" i="5"/>
  <c r="O5" i="5"/>
  <c r="O11" i="5"/>
  <c r="P11" i="5" s="1"/>
  <c r="C39" i="7" l="1"/>
  <c r="M39" i="20"/>
  <c r="N39" i="20"/>
  <c r="L39" i="20"/>
  <c r="AB15" i="3"/>
  <c r="K39" i="20"/>
  <c r="O39" i="5"/>
  <c r="P39" i="5" s="1"/>
  <c r="I39" i="7"/>
  <c r="O39" i="7" s="1"/>
  <c r="P39" i="7" s="1"/>
  <c r="E39" i="20"/>
  <c r="C15" i="4"/>
  <c r="C28" i="6" s="1"/>
  <c r="D18" i="6"/>
  <c r="E18" i="6" s="1"/>
  <c r="O32" i="7"/>
  <c r="P32" i="7" s="1"/>
  <c r="O32" i="20"/>
  <c r="P32" i="20" s="1"/>
  <c r="G12" i="7"/>
  <c r="C36" i="5"/>
  <c r="O8" i="5"/>
  <c r="P8" i="5" s="1"/>
  <c r="O39" i="20" l="1"/>
  <c r="P39" i="20" s="1"/>
  <c r="K36" i="5"/>
  <c r="I36" i="5"/>
  <c r="C36" i="7"/>
  <c r="J36" i="5"/>
  <c r="H36" i="5"/>
  <c r="N36" i="5"/>
  <c r="F36" i="5"/>
  <c r="G36" i="5"/>
  <c r="M36" i="5"/>
  <c r="E36" i="5"/>
  <c r="L36" i="5"/>
  <c r="D36" i="5"/>
  <c r="C36" i="20"/>
  <c r="C49" i="5"/>
  <c r="G48" i="7"/>
  <c r="O12" i="7"/>
  <c r="O12" i="5"/>
  <c r="C33" i="6" s="1"/>
  <c r="O36" i="5" l="1"/>
  <c r="P36" i="5" s="1"/>
  <c r="P12" i="7"/>
  <c r="D34" i="6" s="1"/>
  <c r="D33" i="6"/>
  <c r="C49" i="20"/>
  <c r="N36" i="20"/>
  <c r="N49" i="20" s="1"/>
  <c r="N50" i="20" s="1"/>
  <c r="N51" i="20" s="1"/>
  <c r="N36" i="7"/>
  <c r="N49" i="7" s="1"/>
  <c r="N50" i="7" s="1"/>
  <c r="N51" i="7" s="1"/>
  <c r="N49" i="5"/>
  <c r="N50" i="5" s="1"/>
  <c r="N51" i="5" s="1"/>
  <c r="D36" i="7"/>
  <c r="D49" i="7" s="1"/>
  <c r="D50" i="7" s="1"/>
  <c r="D51" i="7" s="1"/>
  <c r="D36" i="20"/>
  <c r="D49" i="20" s="1"/>
  <c r="D50" i="20" s="1"/>
  <c r="D51" i="20" s="1"/>
  <c r="D49" i="5"/>
  <c r="D50" i="5" s="1"/>
  <c r="D51" i="5" s="1"/>
  <c r="H36" i="20"/>
  <c r="H49" i="20" s="1"/>
  <c r="H50" i="20" s="1"/>
  <c r="H51" i="20" s="1"/>
  <c r="H36" i="7"/>
  <c r="H49" i="7" s="1"/>
  <c r="H50" i="7" s="1"/>
  <c r="H51" i="7" s="1"/>
  <c r="H49" i="5"/>
  <c r="H50" i="5" s="1"/>
  <c r="H51" i="5" s="1"/>
  <c r="E36" i="20"/>
  <c r="E49" i="20" s="1"/>
  <c r="E50" i="20" s="1"/>
  <c r="E51" i="20" s="1"/>
  <c r="E36" i="7"/>
  <c r="E49" i="7" s="1"/>
  <c r="E50" i="7" s="1"/>
  <c r="E51" i="7" s="1"/>
  <c r="E49" i="5"/>
  <c r="E50" i="5" s="1"/>
  <c r="E51" i="5" s="1"/>
  <c r="C49" i="7"/>
  <c r="C50" i="7" s="1"/>
  <c r="C51" i="7" s="1"/>
  <c r="F36" i="20"/>
  <c r="F49" i="20" s="1"/>
  <c r="F50" i="20" s="1"/>
  <c r="F51" i="20" s="1"/>
  <c r="F36" i="7"/>
  <c r="F49" i="7" s="1"/>
  <c r="F50" i="7" s="1"/>
  <c r="F51" i="7" s="1"/>
  <c r="F49" i="5"/>
  <c r="F50" i="5" s="1"/>
  <c r="F51" i="5" s="1"/>
  <c r="J36" i="7"/>
  <c r="J49" i="7" s="1"/>
  <c r="J50" i="7" s="1"/>
  <c r="J51" i="7" s="1"/>
  <c r="J36" i="20"/>
  <c r="J49" i="20" s="1"/>
  <c r="J50" i="20" s="1"/>
  <c r="J51" i="20" s="1"/>
  <c r="J49" i="5"/>
  <c r="J50" i="5" s="1"/>
  <c r="J51" i="5" s="1"/>
  <c r="M36" i="20"/>
  <c r="M49" i="20" s="1"/>
  <c r="M50" i="20" s="1"/>
  <c r="M51" i="20" s="1"/>
  <c r="M36" i="7"/>
  <c r="M49" i="7" s="1"/>
  <c r="M50" i="7" s="1"/>
  <c r="M51" i="7" s="1"/>
  <c r="M49" i="5"/>
  <c r="M50" i="5" s="1"/>
  <c r="M51" i="5" s="1"/>
  <c r="I36" i="7"/>
  <c r="I49" i="7" s="1"/>
  <c r="I50" i="7" s="1"/>
  <c r="I51" i="7" s="1"/>
  <c r="I36" i="20"/>
  <c r="I49" i="20" s="1"/>
  <c r="I50" i="20" s="1"/>
  <c r="I51" i="20" s="1"/>
  <c r="I49" i="5"/>
  <c r="I50" i="5" s="1"/>
  <c r="I51" i="5" s="1"/>
  <c r="L36" i="7"/>
  <c r="L49" i="7" s="1"/>
  <c r="L50" i="7" s="1"/>
  <c r="L51" i="7" s="1"/>
  <c r="L36" i="20"/>
  <c r="L49" i="20" s="1"/>
  <c r="L50" i="20" s="1"/>
  <c r="L51" i="20" s="1"/>
  <c r="L49" i="5"/>
  <c r="L50" i="5" s="1"/>
  <c r="L51" i="5" s="1"/>
  <c r="G36" i="20"/>
  <c r="G49" i="20" s="1"/>
  <c r="G50" i="20" s="1"/>
  <c r="G51" i="20" s="1"/>
  <c r="G36" i="7"/>
  <c r="G49" i="5"/>
  <c r="G50" i="5" s="1"/>
  <c r="G51" i="5" s="1"/>
  <c r="K36" i="7"/>
  <c r="K49" i="7" s="1"/>
  <c r="K50" i="7" s="1"/>
  <c r="K51" i="7" s="1"/>
  <c r="K36" i="20"/>
  <c r="K49" i="20" s="1"/>
  <c r="K50" i="20" s="1"/>
  <c r="K51" i="20" s="1"/>
  <c r="K49" i="5"/>
  <c r="K50" i="5" s="1"/>
  <c r="K51" i="5" s="1"/>
  <c r="O48" i="7"/>
  <c r="P48" i="7" s="1"/>
  <c r="G49" i="7"/>
  <c r="G50" i="7" s="1"/>
  <c r="G51" i="7" s="1"/>
  <c r="O48" i="5"/>
  <c r="P48" i="5" s="1"/>
  <c r="P12" i="5"/>
  <c r="C34" i="6" s="1"/>
  <c r="O36" i="7" l="1"/>
  <c r="P36" i="7" s="1"/>
  <c r="C50" i="20"/>
  <c r="O49" i="20"/>
  <c r="O36" i="20"/>
  <c r="P36" i="20" s="1"/>
  <c r="O50" i="7"/>
  <c r="O49" i="7"/>
  <c r="O49" i="5"/>
  <c r="C50" i="5"/>
  <c r="E35" i="6" l="1"/>
  <c r="P49" i="20"/>
  <c r="E36" i="6" s="1"/>
  <c r="C51" i="20"/>
  <c r="O50" i="20"/>
  <c r="P49" i="5"/>
  <c r="C36" i="6" s="1"/>
  <c r="C35" i="6"/>
  <c r="P49" i="7"/>
  <c r="D36" i="6" s="1"/>
  <c r="D35" i="6"/>
  <c r="P50" i="7"/>
  <c r="D37" i="6"/>
  <c r="D39" i="6" s="1"/>
  <c r="C51" i="5"/>
  <c r="O50" i="5"/>
  <c r="P50" i="20" l="1"/>
  <c r="E37" i="6"/>
  <c r="E39" i="6" s="1"/>
  <c r="P50" i="5"/>
  <c r="C37" i="6"/>
  <c r="C39" i="6" s="1"/>
  <c r="C53" i="7"/>
  <c r="C44" i="6"/>
  <c r="D38" i="6"/>
  <c r="D40" i="6" s="1"/>
  <c r="C53" i="5"/>
  <c r="C53" i="20" l="1"/>
  <c r="E38" i="6"/>
  <c r="E40" i="6" s="1"/>
  <c r="C45" i="6"/>
  <c r="C38" i="6"/>
  <c r="C40" i="6" s="1"/>
  <c r="C4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Pablo Tellez Giron</author>
  </authors>
  <commentList>
    <comment ref="C30" authorId="0" shapeId="0" xr:uid="{C410656E-DCB2-B64E-B915-440EB5517A69}">
      <text>
        <r>
          <rPr>
            <b/>
            <sz val="10"/>
            <color rgb="FF000000"/>
            <rFont val="Tahoma"/>
            <family val="2"/>
          </rPr>
          <t>Juan Pablo Tellez Giron:</t>
        </r>
        <r>
          <rPr>
            <sz val="10"/>
            <color rgb="FF000000"/>
            <rFont val="Tahoma"/>
            <family val="2"/>
          </rPr>
          <t xml:space="preserve">
</t>
        </r>
        <r>
          <rPr>
            <sz val="10"/>
            <color rgb="FF000000"/>
            <rFont val="Tahoma"/>
            <family val="2"/>
          </rPr>
          <t>⚠</t>
        </r>
        <r>
          <rPr>
            <sz val="10"/>
            <color rgb="FF000000"/>
            <rFont val="Tahoma"/>
            <family val="2"/>
          </rPr>
          <t xml:space="preserve"> OBLIGATORIO: Esta fecha se usa en la pestaña '2. Mercado' para calcular la velocidad de reviews/año de cada competidor. Actualízala cada vez que llenes el estudio (mínimo cada trimestre).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Juan Pablo Tellez Giron</author>
  </authors>
  <commentList>
    <comment ref="B48" authorId="0" shapeId="0" xr:uid="{1CB4485D-E25D-4240-863F-6B2BE14F5F05}">
      <text>
        <r>
          <rPr>
            <b/>
            <sz val="10"/>
            <color rgb="FF000000"/>
            <rFont val="Tahoma"/>
            <family val="2"/>
          </rPr>
          <t>Juan Pablo Tellez Giron:</t>
        </r>
        <r>
          <rPr>
            <sz val="10"/>
            <color rgb="FF000000"/>
            <rFont val="Tahoma"/>
            <family val="2"/>
          </rPr>
          <t xml:space="preserve">
</t>
        </r>
        <r>
          <rPr>
            <sz val="10"/>
            <color rgb="FF000000"/>
            <rFont val="Tahoma"/>
            <family val="2"/>
          </rPr>
          <t>🔔</t>
        </r>
        <r>
          <rPr>
            <sz val="10"/>
            <color rgb="FF000000"/>
            <rFont val="Tahoma"/>
            <family val="2"/>
          </rPr>
          <t xml:space="preserve"> Selecciona el % de reserva mensual (5%, 10%, 15%, 20%) o 'Personalizado ($)' para escribir un monto fijo en la celda C36. La industria recomienda al menos 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Juan Pablo Tellez Giron</author>
  </authors>
  <commentList>
    <comment ref="B48" authorId="0" shapeId="0" xr:uid="{C93829A9-E639-FA44-A206-786620804F99}">
      <text>
        <r>
          <rPr>
            <b/>
            <sz val="10"/>
            <color rgb="FF000000"/>
            <rFont val="Tahoma"/>
            <family val="2"/>
          </rPr>
          <t>Juan Pablo Tellez Giron:</t>
        </r>
        <r>
          <rPr>
            <sz val="10"/>
            <color rgb="FF000000"/>
            <rFont val="Tahoma"/>
            <family val="2"/>
          </rPr>
          <t xml:space="preserve">
</t>
        </r>
        <r>
          <rPr>
            <sz val="10"/>
            <color rgb="FF000000"/>
            <rFont val="Tahoma"/>
            <family val="2"/>
          </rPr>
          <t>🔔</t>
        </r>
        <r>
          <rPr>
            <sz val="10"/>
            <color rgb="FF000000"/>
            <rFont val="Tahoma"/>
            <family val="2"/>
          </rPr>
          <t xml:space="preserve"> Selecciona el % de reserva mensual (5%, 10%, 15%, 20%) o 'Personalizado ($)' para escribir un monto fijo en la celda de abajo. La industria recomienda al menos 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Juan Pablo Tellez Giron</author>
  </authors>
  <commentList>
    <comment ref="B48" authorId="0" shapeId="0" xr:uid="{7330C257-30FC-4449-99FA-7D2728930E52}">
      <text>
        <r>
          <rPr>
            <b/>
            <sz val="10"/>
            <color rgb="FF000000"/>
            <rFont val="Tahoma"/>
            <family val="2"/>
          </rPr>
          <t>Juan Pablo Tellez Giron:</t>
        </r>
        <r>
          <rPr>
            <sz val="10"/>
            <color rgb="FF000000"/>
            <rFont val="Tahoma"/>
            <family val="2"/>
          </rPr>
          <t xml:space="preserve">
</t>
        </r>
        <r>
          <rPr>
            <sz val="10"/>
            <color rgb="FF000000"/>
            <rFont val="Tahoma"/>
            <family val="2"/>
          </rPr>
          <t>🔔</t>
        </r>
        <r>
          <rPr>
            <sz val="10"/>
            <color rgb="FF000000"/>
            <rFont val="Tahoma"/>
            <family val="2"/>
          </rPr>
          <t xml:space="preserve"> Selecciona el % de reserva mensual (5%, 10%, 15%, 20%) o 'Personalizado ($)' para escribir un monto fijo en la celda C36. La industria recomienda al menos 10%.</t>
        </r>
      </text>
    </comment>
  </commentList>
</comments>
</file>

<file path=xl/sharedStrings.xml><?xml version="1.0" encoding="utf-8"?>
<sst xmlns="http://schemas.openxmlformats.org/spreadsheetml/2006/main" count="467" uniqueCount="276">
  <si>
    <t>Herramienta de Estudio de Mercado y Factibilidad</t>
  </si>
  <si>
    <t>Cadencia de Reservas™  |  Academia MundoBNB  |  2026</t>
  </si>
  <si>
    <t>CÓMO USAR ESTE LIBRO</t>
  </si>
  <si>
    <t>CÓDIGO DE COLORES DEL LIBRO</t>
  </si>
  <si>
    <t>Texto AZUL</t>
  </si>
  <si>
    <t>Texto NEGRO</t>
  </si>
  <si>
    <t>Texto VERDE</t>
  </si>
  <si>
    <t>Fondo AMARILLO</t>
  </si>
  <si>
    <t>Fondo VERDE</t>
  </si>
  <si>
    <t>Fondo ROJO</t>
  </si>
  <si>
    <t>Juan Pablo Téllez Girón  |  Academia MundoBNB  |  Cadencia de Reservas™  |  mundobnb.com</t>
  </si>
  <si>
    <t>Cadencia de Reservas™ — Perfil de la Propiedad</t>
  </si>
  <si>
    <t>Nombre de la propiedad</t>
  </si>
  <si>
    <t>Moneda del estudio</t>
  </si>
  <si>
    <t>Notas adicionales</t>
  </si>
  <si>
    <t>Cadencia de Reservas™ — Estudio de Mercado  |  10 Propiedades Competidoras</t>
  </si>
  <si>
    <t>#</t>
  </si>
  <si>
    <t>Enlace al anuncio (Airbnb/Booking)</t>
  </si>
  <si>
    <t>Rec.</t>
  </si>
  <si>
    <t>Camas</t>
  </si>
  <si>
    <t>Baños</t>
  </si>
  <si>
    <t>Pax</t>
  </si>
  <si>
    <t>Reviews</t>
  </si>
  <si>
    <t>Rating</t>
  </si>
  <si>
    <t>Ene</t>
  </si>
  <si>
    <t>Feb</t>
  </si>
  <si>
    <t>Mar</t>
  </si>
  <si>
    <t>Abr</t>
  </si>
  <si>
    <t>May</t>
  </si>
  <si>
    <t>Jun</t>
  </si>
  <si>
    <t>Jul</t>
  </si>
  <si>
    <t>Ago</t>
  </si>
  <si>
    <t>Sep</t>
  </si>
  <si>
    <t>Oct</t>
  </si>
  <si>
    <t>Nov</t>
  </si>
  <si>
    <t>Dic</t>
  </si>
  <si>
    <t>Ocup. %
(AirDNA / All the Rooms)</t>
  </si>
  <si>
    <t>Notas análisis (funnel: foto→título→desc→calendario→reviews→anfitrión)</t>
  </si>
  <si>
    <t>Tipo anfitrión</t>
  </si>
  <si>
    <t>ADR
(AirDNA / All the Rooms)</t>
  </si>
  <si>
    <t>Fecha
1er review</t>
  </si>
  <si>
    <t>Individual</t>
  </si>
  <si>
    <t>MI PROPIEDAD</t>
  </si>
  <si>
    <t>PROMEDIOS DEL MERCADO</t>
  </si>
  <si>
    <t>Cadencia de Reservas™  |  Academia MundoBNB  |  2026  |  Actualiza mensualmente</t>
  </si>
  <si>
    <t>Cadencia de Reservas™ — Top Propiedades  |  Techo de Mercado</t>
  </si>
  <si>
    <t>Las 5 propiedades de mayor revenue en tu zona según AirDNA. Definen hasta dónde puede llegar tu propiedad.</t>
  </si>
  <si>
    <t>Enlace</t>
  </si>
  <si>
    <t>¿Qué las hace top?</t>
  </si>
  <si>
    <t>¿Qué puedo copiar?</t>
  </si>
  <si>
    <t>TECHO DE MERCADO</t>
  </si>
  <si>
    <t>Revenue máximo (top 1)</t>
  </si>
  <si>
    <t>← calculado automático</t>
  </si>
  <si>
    <t>Revenue promedio top 5</t>
  </si>
  <si>
    <t>Brecha vs mercado base</t>
  </si>
  <si>
    <t>Cadencia de Reservas™ — Estudio de Factibilidad  |  12 Meses</t>
  </si>
  <si>
    <t>Ingresos automáticos desde el Estudio de Mercado. Ingresa tus costos. Los costos FIJOS: solo escribe en Enero — los otros meses se repiten solos.</t>
  </si>
  <si>
    <t>CONCEPTO</t>
  </si>
  <si>
    <t>Total anual</t>
  </si>
  <si>
    <t>Prom. mensual</t>
  </si>
  <si>
    <t>Notas / referencia</t>
  </si>
  <si>
    <t>INGRESOS ESTIMADOS  —  provienen del Estudio de Mercado (Tab 2)</t>
  </si>
  <si>
    <t>Tarifa promedio de mercado (por mes)</t>
  </si>
  <si>
    <t>← promedio anual</t>
  </si>
  <si>
    <t>← desde Tab 2 · Mercado — promedio de 10 propiedades</t>
  </si>
  <si>
    <t>Ocupación estimada % (mensual)</t>
  </si>
  <si>
    <t>← Tab 2 · puedes sobreescribir mes a mes con dato de AirDNA</t>
  </si>
  <si>
    <t>Días del mes</t>
  </si>
  <si>
    <t>Referencia automática</t>
  </si>
  <si>
    <t>Ingreso por rentas mensual</t>
  </si>
  <si>
    <t>tarifa * ocupación * días del mes</t>
  </si>
  <si>
    <t>Tarifa de limpieza</t>
  </si>
  <si>
    <t>tarifa fija</t>
  </si>
  <si>
    <t>← desde Tab 1 · Perfil</t>
  </si>
  <si>
    <t>Limpiezas estimadas por mes</t>
  </si>
  <si>
    <t>Ingresa el número de limpiezas por mes</t>
  </si>
  <si>
    <t>INGRESO TOTAL MENSUAL</t>
  </si>
  <si>
    <t>COSTOS DE OPERACIÓN  —  ingresa el gasto real de cada mes</t>
  </si>
  <si>
    <t>Camarista / servicio de limpieza</t>
  </si>
  <si>
    <t>Por rotación o mensual fijo</t>
  </si>
  <si>
    <t>Mantenimiento general (persona)</t>
  </si>
  <si>
    <t>Insumos de limpieza</t>
  </si>
  <si>
    <t>Insumos de mantenimiento</t>
  </si>
  <si>
    <t>MANTENIMIENTO DE EQUIPOS  —  celdas amarillas = meses sugeridos</t>
  </si>
  <si>
    <t>Aire acondicionado</t>
  </si>
  <si>
    <t>Sugerido: Jun y Dic · proratea el costo semestral</t>
  </si>
  <si>
    <t>Alberca / jacuzzi</t>
  </si>
  <si>
    <t>Mantenimiento semanal o quincenal</t>
  </si>
  <si>
    <t>Electrodomésticos (refri, lavadora…)</t>
  </si>
  <si>
    <t>Garantías, contratos preventivos</t>
  </si>
  <si>
    <t>Fumigación</t>
  </si>
  <si>
    <t>Sugerido: Mar, Jun, Sep, Dic (trimestral)</t>
  </si>
  <si>
    <t>Jardinería / paneles solares</t>
  </si>
  <si>
    <t>Mantenimiento general extra</t>
  </si>
  <si>
    <t>Reparaciones menores imprevistas</t>
  </si>
  <si>
    <t>COSTOS FIJOS  —  escribe solo en Enero · los demás meses se repiten solos</t>
  </si>
  <si>
    <t>Hipoteca o renta del inmueble</t>
  </si>
  <si>
    <t>← Tab 1 · Perfil  |  más importante — fondo amarillo</t>
  </si>
  <si>
    <t>Seguro de propiedad</t>
  </si>
  <si>
    <t>Prorateado mensual</t>
  </si>
  <si>
    <t>Predial (prorateado mensual)</t>
  </si>
  <si>
    <t>Internet de alta velocidad</t>
  </si>
  <si>
    <t>Comisión plataforma (Airbnb)</t>
  </si>
  <si>
    <t>COSTOS VARIABLES  —  varían cada mes · ingresa el importe real</t>
  </si>
  <si>
    <t>Electricidad (CFE / luz)</t>
  </si>
  <si>
    <t>Varía por temporada y tipo de huésped</t>
  </si>
  <si>
    <t>Agua</t>
  </si>
  <si>
    <t>Gas</t>
  </si>
  <si>
    <t>TOTAL EGRESOS MENSUALES</t>
  </si>
  <si>
    <t>UTILIDAD NETA MENSUAL</t>
  </si>
  <si>
    <t>Indicador mensual</t>
  </si>
  <si>
    <t>Verde = mes positivo · Rojo = mes negativo</t>
  </si>
  <si>
    <t>Renta convencional mensual (desde Perfil)</t>
  </si>
  <si>
    <t>← para comparar con el modelo vacacional</t>
  </si>
  <si>
    <t>¿Supera la renta convencional? (promedio mensual)</t>
  </si>
  <si>
    <t>Propiedad</t>
  </si>
  <si>
    <t>Juan Pablo Téllez Girón  |  Academia MundoBNB  |  Cadencia de Reservas™  |  2026</t>
  </si>
  <si>
    <t>Amenidades Importantes</t>
  </si>
  <si>
    <t>Cadencia de Reservas™ — Estudio Aspiracional  |  Potencial según el mercado</t>
  </si>
  <si>
    <t>Proyección usando los PROMEDIOS del mercado (10 propiedades). Muestra el potencial si igualas al mercado en tarifa y ocupación.</t>
  </si>
  <si>
    <t>INGRESOS POTENCIALES  —  basados en PROMEDIOS del mercado (Tab 2)</t>
  </si>
  <si>
    <t>🔔 RESERVA — selecciona el % en el dropdown amarillo abajo</t>
  </si>
  <si>
    <t>🔔 RESERVA: selecciona el % del dropdown (0% a 50%, intervalos de 5%). Recomendado: 10–15%.</t>
  </si>
  <si>
    <t>0%</t>
  </si>
  <si>
    <t>Ingreso por limpiezas (informativo — no se suma)</t>
  </si>
  <si>
    <t>Solo visual: la limpieza ya viene incluida en el ingreso por rentas</t>
  </si>
  <si>
    <t>Impuesto de la propiedad (prorateado mensual)</t>
  </si>
  <si>
    <t>PASO 1  →  Llena el perfil de tu propiedad</t>
  </si>
  <si>
    <t>PASO 2  →  Investiga el mercado (tus competidoras)</t>
  </si>
  <si>
    <t>PASO 3  →  Identifica el "techo" del mercado</t>
  </si>
  <si>
    <t>Ve a la pestaña "3. Top Propiedades" y registra las 5 propiedades que más dinero generan en tu zona. Estas te muestran hasta dónde puede llegar tu propiedad si haces las mejoras correctas — es tu meta a alcanzar.</t>
  </si>
  <si>
    <t>PASO 4b  →  Potencial aspiracional (¿qué pasaría si igualo al mercado?)</t>
  </si>
  <si>
    <t>PASO 5  →  Lee tu resumen ejecutivo</t>
  </si>
  <si>
    <t>⚠ IMPORTANTE — ACTUALIZA CADA 3 MESES</t>
  </si>
  <si>
    <t>El mercado de renta vacacional cambia trimestre a trimestre. Para que tus números sigan siendo reales, actualiza este estudio al menos cada 3 meses: revisa los precios de las 10 competidoras, las ocupaciones, y CAMBIA LA FECHA DEL ESTUDIO en la pestaña "1. Perfil" (celda C30). Para datos de ocupación y tarifa promedio puedes usar AirDNA o All the Rooms.</t>
  </si>
  <si>
    <t>Fórmulas automáticas — NO las toques, se calculan solas</t>
  </si>
  <si>
    <t>Conexión entre pestañas — jala datos de otra hoja automáticamente</t>
  </si>
  <si>
    <t>Atención — dato importante que debes revisar o seleccionar</t>
  </si>
  <si>
    <t>¡Buena noticia! — indicador positivo o viable</t>
  </si>
  <si>
    <t>Alerta — indicador negativo, necesita ajuste</t>
  </si>
  <si>
    <t>Tú lo escribes — son las celdas donde TÚ debes llenar la información</t>
  </si>
  <si>
    <t>Este libro te ayuda a decidir si tu propiedad funciona mejor como renta vacacional (Airbnb) o como renta tradicional. Úsalo así: completa la información paso por paso (1 → 2 → 3 → 4 → 5). El libro hace los cálculos por ti. Al final, la pestaña "5. Resumen" te dice si el negocio es viable y cómo se compara con rentarla de forma tradicional.</t>
  </si>
  <si>
    <t>Ocup. % (AirDNA)</t>
  </si>
  <si>
    <t>ADR (AirDNA)</t>
  </si>
  <si>
    <t>Huéspedes</t>
  </si>
  <si>
    <t>https://www.airbnb.com/rooms/EJEMPLO</t>
  </si>
  <si>
    <t>Ejemplo</t>
  </si>
  <si>
    <t>Alberca, WiFi, A/C, Cocina equipada, Estacionamiento</t>
  </si>
  <si>
    <t>Buenas fotos, título claro y descripción detallada. Anfitrión responde rápido. Calendario abierto 6+ meses.</t>
  </si>
  <si>
    <t>Diseño moderno, decoración temática, fotos profesionales</t>
  </si>
  <si>
    <t>Renovar fotos, agregar amenidades premium (jacuzzi, vista)</t>
  </si>
  <si>
    <t>1. Identificación de la propiedad</t>
  </si>
  <si>
    <t>Tipo de alojamiento</t>
  </si>
  <si>
    <t>Ciudad / Zona</t>
  </si>
  <si>
    <t>Ciudad y colonia o zona específica.</t>
  </si>
  <si>
    <t>Link Airbnb / Booking</t>
  </si>
  <si>
    <t>Anfitrión / Operador</t>
  </si>
  <si>
    <t>Quién opera y aparece como host visible.</t>
  </si>
  <si>
    <t>2. Capacidad y configuración</t>
  </si>
  <si>
    <t>Recámaras</t>
  </si>
  <si>
    <t>Total de camas (incluye sofá-camas).</t>
  </si>
  <si>
    <t>Capacidad máxima (huéspedes)</t>
  </si>
  <si>
    <t>Metros cuadrados</t>
  </si>
  <si>
    <t>Estacionamiento (cajones)</t>
  </si>
  <si>
    <t>3. Posicionamiento y amenidades</t>
  </si>
  <si>
    <t>Categoría / segmento</t>
  </si>
  <si>
    <t>Nivel objetivo del listado.</t>
  </si>
  <si>
    <t>Amenidades destacadas</t>
  </si>
  <si>
    <t>Lista corta de lo más vendible del listado.</t>
  </si>
  <si>
    <t>Diferenciador principal</t>
  </si>
  <si>
    <t>1 frase. Ej. Única con vista al mar en la zona.</t>
  </si>
  <si>
    <t>4. Operación y costos</t>
  </si>
  <si>
    <t>Tarifa de lista (sin descuentos). Resaltada porque es clave.</t>
  </si>
  <si>
    <t>Costo fijo mensual de tener la propiedad.</t>
  </si>
  <si>
    <t>Esquema de comisión Airbnb</t>
  </si>
  <si>
    <t>Elige: Split Fee (3%) o Host Only Fee (15.5%).</t>
  </si>
  <si>
    <t>Comisión efectiva (cálculo)</t>
  </si>
  <si>
    <t>Se calcula automáticamente.</t>
  </si>
  <si>
    <t>5. Datos del estudio</t>
  </si>
  <si>
    <t>Autor del estudio</t>
  </si>
  <si>
    <t>Mercado / submercado analizado</t>
  </si>
  <si>
    <t>Ej. Tulum Centro – casas 2 recámaras</t>
  </si>
  <si>
    <t>Define el segmento que vas a comparar en la pestaña 2. Mercado.</t>
  </si>
  <si>
    <t>Fecha de captura del estudio</t>
  </si>
  <si>
    <t>⚠ Obligatorio. Se usa en '2. Mercado' para velocidad de reviews/año.</t>
  </si>
  <si>
    <t>🔒 Años activa
(desde 1er review)</t>
  </si>
  <si>
    <t>🔒 Prom. reviews/año
(velocidad)</t>
  </si>
  <si>
    <t>🔒 Prom. anual</t>
  </si>
  <si>
    <t>🔒 Ing. mensual est.
(sin comisión Airbnb)</t>
  </si>
  <si>
    <t>🔒 Ing. anual est.
(sin comisión Airbnb)</t>
  </si>
  <si>
    <t>🔒 Ing. mensual
según AirDNA</t>
  </si>
  <si>
    <t>📌 Leyenda:   🔒 = Se calcula solo (no editar)     🟨 Amarillo claro = Tu propiedad</t>
  </si>
  <si>
    <t>🔒 Revenue est./mes</t>
  </si>
  <si>
    <t>🔒 Revenue est./año</t>
  </si>
  <si>
    <t>📌 Leyenda:   🔒 = Se calcula solo (no editar)</t>
  </si>
  <si>
    <t>🔒 Revenue máximo (top 1)</t>
  </si>
  <si>
    <t>🔒 Revenue promedio top 5</t>
  </si>
  <si>
    <t>🔒 Tarifa prom. noche (top 5)</t>
  </si>
  <si>
    <t>🔒 Brecha vs mercado base</t>
  </si>
  <si>
    <t xml:space="preserve">Electricidad </t>
  </si>
  <si>
    <t>USD - Dólar EE.UU.</t>
  </si>
  <si>
    <t xml:space="preserve">Tarifa base por noche </t>
  </si>
  <si>
    <t xml:space="preserve">Renta / hipoteca mensual </t>
  </si>
  <si>
    <t>💱 Moneda del estudio</t>
  </si>
  <si>
    <t>⚠ IMPORTANTE: Escribe la moneda en la que llenarás los montos (ej. MXN, USD, EUR, COP, ARS, CLP, BRL, etc.)</t>
  </si>
  <si>
    <t>Cadencia de Reservas™ — Techo de Mercado  |  Factibilidad con Top Propiedades</t>
  </si>
  <si>
    <t>Escenario máximo: usa la tarifa promedio y ocupación de las TOP 5 propiedades (Tab 3). Muestra el potencial máximo si lograras igualar a las mejores propiedades de tu zona.</t>
  </si>
  <si>
    <t>← Promedio ADR de Top 5 propiedades (Tab 3)</t>
  </si>
  <si>
    <t>← Promedio ocupación de Top 5 propiedades (Tab 3)</t>
  </si>
  <si>
    <t>Cadencia de Reservas™  |  Academia MundoBNB  |  2026  |  Escenario: Techo de Mercado</t>
  </si>
  <si>
    <t>(agregar concepto)</t>
  </si>
  <si>
    <t>👉 Espacios libres — agrega aquí cualquier concepto extra a tu discreción</t>
  </si>
  <si>
    <t>RESUMEN EJECUTIVO  —  Estudio de Factibilidad Vacacional</t>
  </si>
  <si>
    <t>Todo se actualiza automáticamente desde las otras pestañas. Este es el documento que se presenta y entrega al cliente.</t>
  </si>
  <si>
    <t>1. PROPIEDAD</t>
  </si>
  <si>
    <t>Cliente / Anfitrión</t>
  </si>
  <si>
    <t>Capacidad (huéspedes)</t>
  </si>
  <si>
    <t>2. RESULTADOS DEL ESTUDIO DE MERCADO</t>
  </si>
  <si>
    <t>Promedios de 10 propiedades comparables analizadas en "2. Mercado"</t>
  </si>
  <si>
    <t>Métrica</t>
  </si>
  <si>
    <t>Mi propiedad</t>
  </si>
  <si>
    <t>Promedio mercado</t>
  </si>
  <si>
    <t>Mi posición</t>
  </si>
  <si>
    <t>Tarifa promedio por noche</t>
  </si>
  <si>
    <t>Ocupación estimada</t>
  </si>
  <si>
    <t>Ingreso mensual estimado (bruto)</t>
  </si>
  <si>
    <t>Reviews promedio (total)</t>
  </si>
  <si>
    <t>Rating promedio</t>
  </si>
  <si>
    <t>Reviews / año (velocidad)</t>
  </si>
  <si>
    <t>3. TECHO DE MERCADO  —  TOP 5 PROPIEDADES</t>
  </si>
  <si>
    <t>El potencial máximo de tu zona, basado en las 5 propiedades de mayor revenue (ver "3. Top Propiedades")</t>
  </si>
  <si>
    <t>Tarifa promedio noche top 5</t>
  </si>
  <si>
    <t>4. FACTIBILIDAD  —  COMPARATIVO DE 3 ESCENARIOS</t>
  </si>
  <si>
    <t>Resultados anuales y mensuales de los 3 escenarios. Todos descuentan comisión Airbnb, gastos operativos y reserva.</t>
  </si>
  <si>
    <t>Factibilidad (4a)</t>
  </si>
  <si>
    <t>Aspiracional (4b)</t>
  </si>
  <si>
    <t>Techo de Mercado (4c)</t>
  </si>
  <si>
    <t>INGRESO ANUAL (bruto)</t>
  </si>
  <si>
    <t>Ingreso mensual promedio</t>
  </si>
  <si>
    <t>EGRESOS ANUALES</t>
  </si>
  <si>
    <t>Egresos mensuales promedio</t>
  </si>
  <si>
    <t>UTILIDAD NETA ANUAL</t>
  </si>
  <si>
    <t>Utilidad mensual promedio</t>
  </si>
  <si>
    <t>Margen de utilidad</t>
  </si>
  <si>
    <t>Veredicto: ¿supera renta convencional?</t>
  </si>
  <si>
    <t>5. DIAGNÓSTICO</t>
  </si>
  <si>
    <t>Escenario realista (Factibilidad 4a)</t>
  </si>
  <si>
    <t>Escenario aspiracional (4b)</t>
  </si>
  <si>
    <t>Techo de mercado (4c)</t>
  </si>
  <si>
    <t>Notas:</t>
  </si>
  <si>
    <t>• "Factibilidad" usa la tarifa y ocupación promedio del mercado base (10 propiedades comparables).</t>
  </si>
  <si>
    <t>• "Aspiracional" usa la misma estructura pero permite ajustar manualmente tarifa/ocupación objetivo.</t>
  </si>
  <si>
    <t>• "Techo de mercado" simula los ingresos que recibirían las 5 mejores propiedades de la zona.</t>
  </si>
  <si>
    <t>• Las estimaciones se basan en el mercado actual y pueden variar por temporada, demanda y tendencias. Se recomienda actualizar mensualmente.</t>
  </si>
  <si>
    <t>Ve a la pestaña "1. Perfil" y completa todas las celdas en azul: nombre, ciudad, tipo de propiedad, recámaras, baños, amenidades, tu hipoteca o renta del inmueble, y cuánto te darían por rentarla de forma tradicional. ⚠️ No olvides escribir la FECHA DEL ESTUDIO (celda C30) — esa fecha se usa para calcular qué tan rápido acumulan reviews tus competidores.</t>
  </si>
  <si>
    <t>Ve a la pestaña "2. Mercado". Busca en Airbnb las 10 propiedades más parecidas a la tuya (mismo tamaño, zona, estilo). Para cada una, escribe el precio por noche que aparece en Airbnb para cada mes del año — ese precio es BRUTO (ya incluye la comisión de Airbnb). En la FILA AMARILLA (fila 14) escribe los datos de TU propiedad para compararla directo. El libro saca los promedios, ingresos y velocidad de reviews automáticamente.</t>
  </si>
  <si>
    <t>PASO 4a  →  Factibilidad real (con TUS números actuales)</t>
  </si>
  <si>
    <t>Ve a la pestaña "4a. Factibilidad" e ingresa tus costos reales: limpieza, mantenimiento, servicios, hipoteca, etc. Los ingresos llegan automáticamente desde el Estudio de Mercado (basado en TU propiedad, fila 14). 🔔 No olvides elegir el % de RESERVA mensual en la celda amarilla B48 (recomendado 10–15%). El libro te dice si hay utilidad y si supera la renta convencional.</t>
  </si>
  <si>
    <t>La pestaña "4b. Aspiracional" es idéntica a la 4a, pero usa los PROMEDIOS del mercado en vez de tus números actuales. Te muestra cuánto podrías ganar si tu tarifa y ocupación llegaran al nivel promedio del mercado. Sirve para ver tu potencial realista.</t>
  </si>
  <si>
    <t>PASO 4c  →  Techo de mercado (¿qué pasaría si soy de los mejores?)</t>
  </si>
  <si>
    <t>La pestaña "4c. Techo de Mercado" usa la tarifa y ocupación promedio del TOP 5 de tu zona (no del promedio del mercado completo). Te muestra cuánto podrías ganar si tu propiedad llegara al nivel de las mejores. Es tu meta máxima.</t>
  </si>
  <si>
    <t>La pestaña "5. Resumen" junta todo en una sola página: datos de la propiedad, comparativo de tu propiedad vs mercado, techo de mercado, y los tres escenarios de factibilidad (4a, 4b, 4c) lado a lado con su veredicto. Esto es lo que le presentas al cliente. Se actualiza solo conforme llenas las pestañas anteriores.</t>
  </si>
  <si>
    <t>Tarifa de Limpieza</t>
  </si>
  <si>
    <t>Tu costo de una limpieza</t>
  </si>
  <si>
    <t>https://www.airbnb.mx/rooms/51667347</t>
  </si>
  <si>
    <t>Split Fee  (15% huésped · 3% anfitrión)</t>
  </si>
  <si>
    <t>Ej. Estudio Long Island</t>
  </si>
  <si>
    <t>Ej. Departamento completo</t>
  </si>
  <si>
    <t>Ej. Elmont, NY</t>
  </si>
  <si>
    <t>Ej. https://www.airbnb.com/rooms/123456</t>
  </si>
  <si>
    <t>Ej. Nombre del anfitrión o empresa</t>
  </si>
  <si>
    <t>Ej. Estándar</t>
  </si>
  <si>
    <t>Ej. WiFi, cocina equipada, A/C</t>
  </si>
  <si>
    <t>Ej. A 5 min de la estación, ideal para commuters</t>
  </si>
  <si>
    <t>Ej. Tu nombre</t>
  </si>
  <si>
    <t>Ej. Contexto relevante del estudio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</si>
</sst>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6" formatCode="[$$]#,##0.00"/>
    <numFmt numFmtId="167" formatCode="\$#,##0.00"/>
    <numFmt numFmtId="168" formatCode="dd/mmm/yy"/>
    <numFmt numFmtId="169" formatCode="0.0"/>
    <numFmt numFmtId="170" formatCode="&quot;$&quot;#,##0"/>
    <numFmt numFmtId="171" formatCode="&quot;$&quot;#,##0.00"/>
    <numFmt numFmtId="172" formatCode="dd/mm/yyyy"/>
  </numFmts>
  <fonts count="84" x14ac:knownFonts="1">
    <font>
      <sz val="11"/>
      <color theme="1"/>
      <name val="Calibri"/>
      <charset val="1"/>
    </font>
    <font>
      <b/>
      <sz val="16"/>
      <color rgb="FFFFFFFF"/>
      <name val="Arial"/>
      <family val="2"/>
    </font>
    <font>
      <i/>
      <sz val="10"/>
      <color rgb="FF2E5FA3"/>
      <name val="Arial"/>
      <family val="2"/>
    </font>
    <font>
      <sz val="10"/>
      <color rgb="FF1B3A6B"/>
      <name val="Arial"/>
      <family val="2"/>
    </font>
    <font>
      <b/>
      <sz val="12"/>
      <color rgb="FFFFFFFF"/>
      <name val="Arial"/>
      <family val="2"/>
    </font>
    <font>
      <b/>
      <sz val="10"/>
      <color rgb="FFFFFFFF"/>
      <name val="Arial"/>
      <family val="2"/>
    </font>
    <font>
      <sz val="10"/>
      <color rgb="FF333333"/>
      <name val="Arial"/>
      <family val="2"/>
    </font>
    <font>
      <b/>
      <sz val="10"/>
      <color rgb="FF0000FF"/>
      <name val="Arial"/>
      <family val="2"/>
    </font>
    <font>
      <sz val="10"/>
      <color rgb="FF444444"/>
      <name val="Arial"/>
      <family val="2"/>
    </font>
    <font>
      <b/>
      <sz val="10"/>
      <color rgb="FF000000"/>
      <name val="Arial"/>
      <family val="2"/>
    </font>
    <font>
      <b/>
      <sz val="10"/>
      <color rgb="FF0F6E56"/>
      <name val="Arial"/>
      <family val="2"/>
    </font>
    <font>
      <b/>
      <sz val="10"/>
      <color rgb="FFC0392B"/>
      <name val="Arial"/>
      <family val="2"/>
    </font>
    <font>
      <i/>
      <sz val="9"/>
      <color rgb="FFAAAAAA"/>
      <name val="Arial"/>
      <family val="2"/>
    </font>
    <font>
      <b/>
      <sz val="14"/>
      <color rgb="FFFFFFFF"/>
      <name val="Arial"/>
      <family val="2"/>
    </font>
    <font>
      <i/>
      <sz val="9"/>
      <color rgb="FF888888"/>
      <name val="Arial"/>
      <family val="2"/>
    </font>
    <font>
      <sz val="10"/>
      <color rgb="FF0000FF"/>
      <name val="Arial"/>
      <family val="2"/>
    </font>
    <font>
      <sz val="9"/>
      <color rgb="FF000000"/>
      <name val="Arial"/>
      <family val="2"/>
    </font>
    <font>
      <sz val="9"/>
      <color rgb="FF0070C0"/>
      <name val="Arial"/>
      <family val="2"/>
    </font>
    <font>
      <sz val="8"/>
      <color rgb="FF595959"/>
      <name val="Arial"/>
      <family val="2"/>
    </font>
    <font>
      <b/>
      <sz val="13"/>
      <color rgb="FFFFFFFF"/>
      <name val="Arial"/>
      <family val="2"/>
    </font>
    <font>
      <b/>
      <sz val="9"/>
      <color rgb="FFFFFFFF"/>
      <name val="Arial"/>
      <family val="2"/>
    </font>
    <font>
      <b/>
      <sz val="10"/>
      <color rgb="FF1B3A6B"/>
      <name val="Arial"/>
      <family val="2"/>
    </font>
    <font>
      <u/>
      <sz val="9"/>
      <color rgb="FF0000FF"/>
      <name val="Arial"/>
      <family val="2"/>
    </font>
    <font>
      <sz val="10"/>
      <color rgb="FF000000"/>
      <name val="Arial"/>
      <family val="2"/>
    </font>
    <font>
      <sz val="9"/>
      <color rgb="FF0000FF"/>
      <name val="Arial"/>
      <family val="2"/>
    </font>
    <font>
      <u/>
      <sz val="9"/>
      <color rgb="FF0070C0"/>
      <name val="Arial"/>
      <family val="2"/>
    </font>
    <font>
      <b/>
      <sz val="10"/>
      <color rgb="FFBA7517"/>
      <name val="Arial"/>
      <family val="2"/>
    </font>
    <font>
      <b/>
      <sz val="11"/>
      <color rgb="FFFFFFFF"/>
      <name val="Arial"/>
      <family val="2"/>
    </font>
    <font>
      <b/>
      <sz val="11"/>
      <color rgb="FF000000"/>
      <name val="Arial"/>
      <family val="2"/>
    </font>
    <font>
      <sz val="10"/>
      <color rgb="FF008000"/>
      <name val="Arial"/>
      <family val="2"/>
    </font>
    <font>
      <i/>
      <sz val="9"/>
      <color rgb="FF0F6E56"/>
      <name val="Arial"/>
      <family val="2"/>
    </font>
    <font>
      <sz val="9"/>
      <color rgb="FF888888"/>
      <name val="Arial"/>
      <family val="2"/>
    </font>
    <font>
      <sz val="10"/>
      <color rgb="FF888888"/>
      <name val="Arial"/>
      <family val="2"/>
    </font>
    <font>
      <b/>
      <sz val="10"/>
      <color rgb="FF444444"/>
      <name val="Arial"/>
      <family val="2"/>
    </font>
    <font>
      <b/>
      <sz val="12"/>
      <color rgb="FF000000"/>
      <name val="Arial"/>
      <family val="2"/>
    </font>
    <font>
      <sz val="12"/>
      <color rgb="FF006100"/>
      <name val="Calibri"/>
      <family val="2"/>
      <scheme val="minor"/>
    </font>
    <font>
      <b/>
      <sz val="9"/>
      <color rgb="FFFFFFFF"/>
      <name val="Arial"/>
      <family val="2"/>
    </font>
    <font>
      <b/>
      <sz val="10"/>
      <color rgb="FF000000"/>
      <name val="Arial"/>
      <family val="2"/>
    </font>
    <font>
      <b/>
      <sz val="8"/>
      <color rgb="FFFFFFFF"/>
      <name val="Arial"/>
      <family val="2"/>
    </font>
    <font>
      <sz val="9"/>
      <color rgb="FF0070C0"/>
      <name val="Arial"/>
      <family val="2"/>
    </font>
    <font>
      <sz val="9"/>
      <color rgb="FF000000"/>
      <name val="Arial"/>
      <family val="2"/>
    </font>
    <font>
      <b/>
      <sz val="10"/>
      <color rgb="FFFFFFFF"/>
      <name val="Arial"/>
      <family val="2"/>
    </font>
    <font>
      <b/>
      <sz val="9"/>
      <color rgb="FF000000"/>
      <name val="Arial"/>
      <family val="2"/>
    </font>
    <font>
      <sz val="11"/>
      <color theme="1"/>
      <name val="Calibri"/>
      <family val="2"/>
    </font>
    <font>
      <b/>
      <sz val="11"/>
      <color rgb="FF000000"/>
      <name val="Arial"/>
      <family val="2"/>
    </font>
    <font>
      <b/>
      <sz val="12"/>
      <color rgb="FFC00000"/>
      <name val="Arial"/>
      <family val="2"/>
    </font>
    <font>
      <b/>
      <i/>
      <sz val="9"/>
      <color rgb="FFC00000"/>
      <name val="Arial"/>
      <family val="2"/>
    </font>
    <font>
      <sz val="10"/>
      <color rgb="FF000000"/>
      <name val="Tahoma"/>
      <family val="2"/>
    </font>
    <font>
      <b/>
      <sz val="10"/>
      <color rgb="FF000000"/>
      <name val="Tahoma"/>
      <family val="2"/>
    </font>
    <font>
      <b/>
      <sz val="10"/>
      <color rgb="FF1B3A6B"/>
      <name val="Arial"/>
      <family val="2"/>
    </font>
    <font>
      <b/>
      <i/>
      <sz val="10"/>
      <color rgb="FF1B3A6B"/>
      <name val="Arial"/>
      <family val="2"/>
    </font>
    <font>
      <sz val="10"/>
      <color rgb="FF0000FF"/>
      <name val="Arial"/>
      <family val="2"/>
    </font>
    <font>
      <sz val="10"/>
      <color rgb="FF000000"/>
      <name val="Arial"/>
      <family val="2"/>
    </font>
    <font>
      <b/>
      <sz val="14"/>
      <color rgb="FF000000"/>
      <name val="Arial"/>
      <family val="2"/>
    </font>
    <font>
      <b/>
      <i/>
      <sz val="10"/>
      <color rgb="FF888888"/>
      <name val="Arial"/>
      <family val="2"/>
    </font>
    <font>
      <sz val="10"/>
      <color rgb="FF444444"/>
      <name val="Arial"/>
      <family val="2"/>
    </font>
    <font>
      <i/>
      <sz val="9"/>
      <color rgb="FF888888"/>
      <name val="Arial"/>
      <family val="2"/>
    </font>
    <font>
      <sz val="10"/>
      <color rgb="FF333333"/>
      <name val="Arial"/>
      <family val="2"/>
    </font>
    <font>
      <b/>
      <sz val="11"/>
      <color theme="1"/>
      <name val="Calibri"/>
      <family val="2"/>
    </font>
    <font>
      <b/>
      <sz val="10"/>
      <color theme="1"/>
      <name val="Calibri"/>
      <family val="2"/>
    </font>
    <font>
      <b/>
      <sz val="10"/>
      <color rgb="FFFFFFFF"/>
      <name val="Calibri"/>
      <family val="2"/>
    </font>
    <font>
      <sz val="10"/>
      <color theme="1"/>
      <name val="Calibri"/>
      <family val="2"/>
    </font>
    <font>
      <b/>
      <sz val="9"/>
      <color rgb="FF0000FF"/>
      <name val="Arial"/>
      <family val="2"/>
    </font>
    <font>
      <b/>
      <u/>
      <sz val="9"/>
      <color rgb="FF0000FF"/>
      <name val="Arial"/>
      <family val="2"/>
    </font>
    <font>
      <b/>
      <sz val="10"/>
      <color rgb="FF0000FF"/>
      <name val="Arial"/>
      <family val="2"/>
    </font>
    <font>
      <b/>
      <sz val="10"/>
      <color theme="1"/>
      <name val="Arial"/>
      <family val="2"/>
    </font>
    <font>
      <b/>
      <i/>
      <sz val="9"/>
      <color rgb="FF7F6000"/>
      <name val="Arial"/>
      <family val="2"/>
    </font>
    <font>
      <b/>
      <sz val="11"/>
      <color rgb="FF7F6000"/>
      <name val="Arial"/>
      <family val="2"/>
    </font>
    <font>
      <b/>
      <sz val="11"/>
      <color rgb="FF0000FF"/>
      <name val="Arial"/>
      <family val="2"/>
    </font>
    <font>
      <i/>
      <sz val="10"/>
      <color rgb="FF999999"/>
      <name val="Arial"/>
      <family val="2"/>
    </font>
    <font>
      <b/>
      <i/>
      <sz val="9"/>
      <color rgb="FF7F6000"/>
      <name val="Calibri"/>
      <family val="2"/>
    </font>
    <font>
      <sz val="10"/>
      <color rgb="FF008000"/>
      <name val="Arial"/>
      <family val="2"/>
    </font>
    <font>
      <b/>
      <sz val="16"/>
      <color rgb="FFFFFFFF"/>
      <name val="Calibri"/>
      <family val="2"/>
    </font>
    <font>
      <i/>
      <sz val="10"/>
      <color rgb="FF666666"/>
      <name val="Calibri"/>
      <family val="2"/>
    </font>
    <font>
      <b/>
      <sz val="12"/>
      <color rgb="FFFFFFFF"/>
      <name val="Calibri"/>
      <family val="2"/>
    </font>
    <font>
      <sz val="10"/>
      <color rgb="FF008000"/>
      <name val="Calibri"/>
      <family val="2"/>
    </font>
    <font>
      <b/>
      <sz val="9"/>
      <color rgb="FF666666"/>
      <name val="Calibri"/>
      <family val="2"/>
    </font>
    <font>
      <b/>
      <i/>
      <sz val="9"/>
      <color rgb="FF666666"/>
      <name val="Calibri"/>
      <family val="2"/>
    </font>
    <font>
      <sz val="10"/>
      <color rgb="FF444444"/>
      <name val="Calibri"/>
      <family val="2"/>
    </font>
    <font>
      <sz val="9"/>
      <color rgb="FF666666"/>
      <name val="Calibri"/>
      <family val="2"/>
    </font>
    <font>
      <i/>
      <sz val="9"/>
      <color rgb="FF666666"/>
      <name val="Calibri"/>
      <family val="2"/>
    </font>
    <font>
      <i/>
      <sz val="9"/>
      <color rgb="FF999999"/>
      <name val="Calibri"/>
      <family val="2"/>
    </font>
    <font>
      <u/>
      <sz val="11"/>
      <color theme="10"/>
      <name val="Calibri"/>
      <family val="2"/>
    </font>
    <font>
      <i/>
      <u/>
      <sz val="10"/>
      <color rgb="FF999999"/>
      <name val="Arial"/>
      <family val="2"/>
    </font>
  </fonts>
  <fills count="51">
    <fill>
      <patternFill patternType="none"/>
    </fill>
    <fill>
      <patternFill patternType="gray125"/>
    </fill>
    <fill>
      <patternFill patternType="solid">
        <fgColor rgb="FF1B3A6B"/>
        <bgColor rgb="FF194167"/>
      </patternFill>
    </fill>
    <fill>
      <patternFill patternType="solid">
        <fgColor rgb="FFE8EEF8"/>
        <bgColor rgb="FFEEEDFE"/>
      </patternFill>
    </fill>
    <fill>
      <patternFill patternType="solid">
        <fgColor rgb="FF2E5FA3"/>
        <bgColor rgb="FF534AB7"/>
      </patternFill>
    </fill>
    <fill>
      <patternFill patternType="solid">
        <fgColor rgb="FFF5F5F5"/>
        <bgColor rgb="FFF2F6FA"/>
      </patternFill>
    </fill>
    <fill>
      <patternFill patternType="solid">
        <fgColor rgb="FFBA7517"/>
        <bgColor rgb="FFD4A017"/>
      </patternFill>
    </fill>
    <fill>
      <patternFill patternType="solid">
        <fgColor rgb="FFFFFFFF"/>
        <bgColor rgb="FFF5F5F5"/>
      </patternFill>
    </fill>
    <fill>
      <patternFill patternType="solid">
        <fgColor rgb="FFE1F5EE"/>
        <bgColor rgb="FFE8EEF8"/>
      </patternFill>
    </fill>
    <fill>
      <patternFill patternType="solid">
        <fgColor rgb="FFFFFF00"/>
        <bgColor rgb="FFFFCC00"/>
      </patternFill>
    </fill>
    <fill>
      <patternFill patternType="solid">
        <fgColor rgb="FFFAEBEA"/>
        <bgColor rgb="FFFAEEDA"/>
      </patternFill>
    </fill>
    <fill>
      <patternFill patternType="solid">
        <fgColor rgb="FFFFF8DC"/>
        <bgColor rgb="FFFAEEDA"/>
      </patternFill>
    </fill>
    <fill>
      <patternFill patternType="solid">
        <fgColor rgb="FFF2F6FA"/>
        <bgColor rgb="FFF5F5F5"/>
      </patternFill>
    </fill>
    <fill>
      <patternFill patternType="solid">
        <fgColor rgb="FF534AB7"/>
        <bgColor rgb="FF2E5FA3"/>
      </patternFill>
    </fill>
    <fill>
      <patternFill patternType="solid">
        <fgColor rgb="FF0F6E56"/>
        <bgColor rgb="FF1E8449"/>
      </patternFill>
    </fill>
    <fill>
      <patternFill patternType="solid">
        <fgColor rgb="FFEEEDFE"/>
        <bgColor rgb="FFE8EEF8"/>
      </patternFill>
    </fill>
    <fill>
      <patternFill patternType="solid">
        <fgColor rgb="FFD4A017"/>
        <bgColor rgb="FFBA7517"/>
      </patternFill>
    </fill>
    <fill>
      <patternFill patternType="solid">
        <fgColor rgb="FFFAEEDA"/>
        <bgColor rgb="FFFAEBEA"/>
      </patternFill>
    </fill>
    <fill>
      <patternFill patternType="solid">
        <fgColor rgb="FFE8E8E8"/>
        <bgColor rgb="FFE8EEF8"/>
      </patternFill>
    </fill>
    <fill>
      <patternFill patternType="solid">
        <fgColor rgb="FFC0392B"/>
        <bgColor rgb="FFBA7517"/>
      </patternFill>
    </fill>
    <fill>
      <patternFill patternType="solid">
        <fgColor rgb="FFC6EFCE"/>
      </patternFill>
    </fill>
    <fill>
      <patternFill patternType="solid">
        <fgColor rgb="FF194167"/>
        <bgColor indexed="64"/>
      </patternFill>
    </fill>
    <fill>
      <patternFill patternType="solid">
        <fgColor rgb="FFE1F5EE"/>
        <bgColor indexed="64"/>
      </patternFill>
    </fill>
    <fill>
      <patternFill patternType="solid">
        <fgColor rgb="FFFFFF00"/>
        <bgColor indexed="64"/>
      </patternFill>
    </fill>
    <fill>
      <patternFill patternType="solid">
        <fgColor rgb="FFFFF8DC"/>
        <bgColor indexed="64"/>
      </patternFill>
    </fill>
    <fill>
      <patternFill patternType="solid">
        <fgColor rgb="FF1B3A6B"/>
        <bgColor indexed="64"/>
      </patternFill>
    </fill>
    <fill>
      <patternFill patternType="solid">
        <fgColor rgb="FFFFF9DC"/>
        <bgColor rgb="FFFAEEDA"/>
      </patternFill>
    </fill>
    <fill>
      <patternFill patternType="solid">
        <fgColor rgb="FFFFF9DC"/>
        <bgColor indexed="64"/>
      </patternFill>
    </fill>
    <fill>
      <patternFill patternType="solid">
        <fgColor rgb="FFFFF9DC"/>
        <bgColor rgb="FFE8EEF8"/>
      </patternFill>
    </fill>
    <fill>
      <patternFill patternType="solid">
        <fgColor rgb="FFFFD5A7"/>
        <bgColor rgb="FF1E8449"/>
      </patternFill>
    </fill>
    <fill>
      <patternFill patternType="solid">
        <fgColor rgb="FF534AB7"/>
        <bgColor indexed="64"/>
      </patternFill>
    </fill>
    <fill>
      <patternFill patternType="solid">
        <fgColor rgb="FFEEEDFE"/>
        <bgColor indexed="64"/>
      </patternFill>
    </fill>
    <fill>
      <patternFill patternType="solid">
        <fgColor rgb="FFE2F6EE"/>
        <bgColor rgb="FFE8EEF8"/>
      </patternFill>
    </fill>
    <fill>
      <patternFill patternType="solid">
        <fgColor rgb="FFE2F6EE"/>
        <bgColor indexed="64"/>
      </patternFill>
    </fill>
    <fill>
      <patternFill patternType="solid">
        <fgColor rgb="FFE8EEF9"/>
        <bgColor rgb="FFEEEDFE"/>
      </patternFill>
    </fill>
    <fill>
      <patternFill patternType="solid">
        <fgColor rgb="FFE8EEF9"/>
        <bgColor rgb="FFFFCC00"/>
      </patternFill>
    </fill>
    <fill>
      <patternFill patternType="solid">
        <fgColor rgb="FFC00000"/>
        <bgColor indexed="64"/>
      </patternFill>
    </fill>
    <fill>
      <patternFill patternType="solid">
        <fgColor rgb="FFFFEB3B"/>
        <bgColor indexed="64"/>
      </patternFill>
    </fill>
    <fill>
      <patternFill patternType="solid">
        <fgColor rgb="FFF5F5F5"/>
        <bgColor indexed="64"/>
      </patternFill>
    </fill>
    <fill>
      <patternFill patternType="solid">
        <fgColor rgb="FFBA7517"/>
        <bgColor indexed="64"/>
      </patternFill>
    </fill>
    <fill>
      <patternFill patternType="solid">
        <fgColor rgb="FFFAEEDA"/>
        <bgColor indexed="64"/>
      </patternFill>
    </fill>
    <fill>
      <patternFill patternType="solid">
        <fgColor rgb="FFFFF9E6"/>
        <bgColor indexed="64"/>
      </patternFill>
    </fill>
    <fill>
      <patternFill patternType="solid">
        <fgColor rgb="FFE8EEF8"/>
        <bgColor indexed="64"/>
      </patternFill>
    </fill>
    <fill>
      <patternFill patternType="solid">
        <fgColor rgb="FFD5F5E3"/>
        <bgColor indexed="64"/>
      </patternFill>
    </fill>
    <fill>
      <patternFill patternType="solid">
        <fgColor rgb="FF1E8449"/>
        <bgColor indexed="64"/>
      </patternFill>
    </fill>
    <fill>
      <patternFill patternType="solid">
        <fgColor rgb="FFFFE699"/>
        <bgColor indexed="64"/>
      </patternFill>
    </fill>
    <fill>
      <patternFill patternType="solid">
        <fgColor rgb="FFFFF2CC"/>
        <bgColor indexed="64"/>
      </patternFill>
    </fill>
    <fill>
      <patternFill patternType="solid">
        <fgColor rgb="FFE8E8E8"/>
        <bgColor indexed="64"/>
      </patternFill>
    </fill>
    <fill>
      <patternFill patternType="solid">
        <fgColor rgb="FF444444"/>
        <bgColor indexed="64"/>
      </patternFill>
    </fill>
    <fill>
      <patternFill patternType="solid">
        <fgColor rgb="FFFBEAEA"/>
        <bgColor indexed="64"/>
      </patternFill>
    </fill>
    <fill>
      <patternFill patternType="solid">
        <fgColor rgb="FFFFFFFF"/>
        <bgColor indexed="64"/>
      </patternFill>
    </fill>
  </fills>
  <borders count="22">
    <border>
      <left/>
      <right/>
      <top/>
      <bottom/>
      <diagonal/>
    </border>
    <border>
      <left style="thin">
        <color rgb="FFCCCCCC"/>
      </left>
      <right style="thin">
        <color rgb="FFCCCCCC"/>
      </right>
      <top style="thin">
        <color rgb="FFCCCCCC"/>
      </top>
      <bottom style="thin">
        <color rgb="FFCCCCCC"/>
      </bottom>
      <diagonal/>
    </border>
    <border>
      <left style="thin">
        <color rgb="FF194167"/>
      </left>
      <right style="thin">
        <color rgb="FF194167"/>
      </right>
      <top style="thin">
        <color rgb="FF194167"/>
      </top>
      <bottom style="thin">
        <color rgb="FF194167"/>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top style="thick">
        <color rgb="FFC00000"/>
      </top>
      <bottom style="thick">
        <color rgb="FFC00000"/>
      </bottom>
      <diagonal/>
    </border>
    <border>
      <left style="thick">
        <color rgb="FFC00000"/>
      </left>
      <right/>
      <top style="thick">
        <color rgb="FFC00000"/>
      </top>
      <bottom style="thick">
        <color rgb="FFC00000"/>
      </bottom>
      <diagonal/>
    </border>
    <border>
      <left style="thick">
        <color rgb="FFC00000"/>
      </left>
      <right style="thick">
        <color rgb="FFC00000"/>
      </right>
      <top style="thick">
        <color rgb="FFC00000"/>
      </top>
      <bottom style="thick">
        <color rgb="FFC00000"/>
      </bottom>
      <diagonal/>
    </border>
    <border>
      <left style="thin">
        <color rgb="FFCCCCCC"/>
      </left>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style="thick">
        <color rgb="FF1E8449"/>
      </top>
      <bottom style="thick">
        <color rgb="FF1E8449"/>
      </bottom>
      <diagonal/>
    </border>
    <border>
      <left style="thick">
        <color rgb="FF1E8449"/>
      </left>
      <right style="thin">
        <color rgb="FFCCCCCC"/>
      </right>
      <top style="thick">
        <color rgb="FF1E8449"/>
      </top>
      <bottom style="thick">
        <color rgb="FF1E8449"/>
      </bottom>
      <diagonal/>
    </border>
    <border>
      <left style="thin">
        <color rgb="FFCCCCCC"/>
      </left>
      <right style="thick">
        <color rgb="FF1E8449"/>
      </right>
      <top style="thick">
        <color rgb="FF1E8449"/>
      </top>
      <bottom style="thick">
        <color rgb="FF1E8449"/>
      </bottom>
      <diagonal/>
    </border>
    <border>
      <left style="thin">
        <color rgb="FFCCCCCC"/>
      </left>
      <right/>
      <top style="thick">
        <color rgb="FF1E8449"/>
      </top>
      <bottom style="thick">
        <color rgb="FF1E8449"/>
      </bottom>
      <diagonal/>
    </border>
    <border>
      <left style="thin">
        <color rgb="FFCCCCCC"/>
      </left>
      <right/>
      <top/>
      <bottom style="thin">
        <color rgb="FFCCCCCC"/>
      </bottom>
      <diagonal/>
    </border>
    <border>
      <left style="thin">
        <color rgb="FFCCCCCC"/>
      </left>
      <right style="thin">
        <color rgb="FFCCCCCC"/>
      </right>
      <top/>
      <bottom/>
      <diagonal/>
    </border>
    <border>
      <left/>
      <right/>
      <top/>
      <bottom style="thin">
        <color rgb="FFCCCCCC"/>
      </bottom>
      <diagonal/>
    </border>
    <border>
      <left style="thin">
        <color rgb="FFD4A017"/>
      </left>
      <right/>
      <top/>
      <bottom/>
      <diagonal/>
    </border>
    <border>
      <left/>
      <right style="thick">
        <color rgb="FFC00000"/>
      </right>
      <top style="thick">
        <color rgb="FFC00000"/>
      </top>
      <bottom style="thick">
        <color rgb="FFC00000"/>
      </bottom>
      <diagonal/>
    </border>
    <border>
      <left/>
      <right style="thin">
        <color rgb="FFCCCCCC"/>
      </right>
      <top style="thick">
        <color rgb="FF1E8449"/>
      </top>
      <bottom style="thick">
        <color rgb="FF1E8449"/>
      </bottom>
      <diagonal/>
    </border>
    <border>
      <left/>
      <right style="thin">
        <color rgb="FFCCCCCC"/>
      </right>
      <top/>
      <bottom style="thin">
        <color rgb="FFCCCCCC"/>
      </bottom>
      <diagonal/>
    </border>
  </borders>
  <cellStyleXfs count="3">
    <xf numFmtId="0" fontId="0" fillId="0" borderId="0"/>
    <xf numFmtId="0" fontId="35" fillId="20" borderId="0" applyNumberFormat="0" applyBorder="0" applyAlignment="0" applyProtection="0"/>
    <xf numFmtId="0" fontId="82" fillId="0" borderId="0" applyNumberFormat="0" applyFill="0" applyBorder="0" applyAlignment="0" applyProtection="0"/>
  </cellStyleXfs>
  <cellXfs count="326">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14" borderId="0" xfId="0" applyFill="1"/>
    <xf numFmtId="0" fontId="0" fillId="19" borderId="0" xfId="0" applyFill="1"/>
    <xf numFmtId="0" fontId="0" fillId="0" borderId="0" xfId="0" applyAlignment="1">
      <alignment wrapText="1"/>
    </xf>
    <xf numFmtId="0" fontId="43" fillId="2" borderId="0" xfId="0" applyFont="1" applyFill="1"/>
    <xf numFmtId="0" fontId="0" fillId="2" borderId="0" xfId="0" applyFill="1" applyAlignment="1">
      <alignment wrapText="1"/>
    </xf>
    <xf numFmtId="0" fontId="0" fillId="2" borderId="0" xfId="0" applyFill="1" applyAlignment="1" applyProtection="1">
      <alignment wrapText="1"/>
      <protection locked="0"/>
    </xf>
    <xf numFmtId="0" fontId="0" fillId="0" borderId="0" xfId="0" applyAlignment="1" applyProtection="1">
      <alignment wrapText="1"/>
      <protection locked="0"/>
    </xf>
    <xf numFmtId="0" fontId="41" fillId="25" borderId="0" xfId="0" applyFont="1" applyFill="1" applyAlignment="1" applyProtection="1">
      <alignment horizontal="left" wrapText="1"/>
      <protection locked="0"/>
    </xf>
    <xf numFmtId="0" fontId="41" fillId="39" borderId="0" xfId="0" applyFont="1" applyFill="1" applyAlignment="1" applyProtection="1">
      <alignment horizontal="left" vertical="center" wrapText="1"/>
      <protection locked="0"/>
    </xf>
    <xf numFmtId="0" fontId="0" fillId="6" borderId="0" xfId="0" applyFill="1" applyAlignment="1" applyProtection="1">
      <alignment wrapText="1"/>
      <protection locked="0"/>
    </xf>
    <xf numFmtId="0" fontId="7" fillId="3" borderId="1" xfId="0" applyFont="1" applyFill="1" applyBorder="1" applyAlignment="1" applyProtection="1">
      <alignment horizontal="left" vertical="center" wrapText="1"/>
      <protection locked="0"/>
    </xf>
    <xf numFmtId="0" fontId="8" fillId="7" borderId="1" xfId="0" applyFont="1" applyFill="1" applyBorder="1" applyAlignment="1" applyProtection="1">
      <alignment horizontal="left" vertical="center" wrapText="1"/>
      <protection locked="0"/>
    </xf>
    <xf numFmtId="0" fontId="9" fillId="5" borderId="1" xfId="0" applyFont="1" applyFill="1" applyBorder="1" applyAlignment="1" applyProtection="1">
      <alignment horizontal="left" vertical="center" wrapText="1"/>
      <protection locked="0"/>
    </xf>
    <xf numFmtId="0" fontId="10" fillId="8" borderId="1" xfId="0" applyFont="1" applyFill="1" applyBorder="1" applyAlignment="1" applyProtection="1">
      <alignment horizontal="left" vertical="center" wrapText="1"/>
      <protection locked="0"/>
    </xf>
    <xf numFmtId="0" fontId="9" fillId="9" borderId="1" xfId="0" applyFont="1" applyFill="1" applyBorder="1" applyAlignment="1" applyProtection="1">
      <alignment horizontal="left" vertical="center" wrapText="1"/>
      <protection locked="0"/>
    </xf>
    <xf numFmtId="0" fontId="11" fillId="10" borderId="1" xfId="0" applyFont="1" applyFill="1" applyBorder="1" applyAlignment="1" applyProtection="1">
      <alignment horizontal="left" vertical="center" wrapText="1"/>
      <protection locked="0"/>
    </xf>
    <xf numFmtId="0" fontId="14" fillId="0" borderId="0" xfId="0" applyFont="1" applyAlignment="1" applyProtection="1">
      <alignment horizontal="left" vertical="center"/>
      <protection locked="0"/>
    </xf>
    <xf numFmtId="0" fontId="0" fillId="0" borderId="0" xfId="0" applyProtection="1">
      <protection locked="0"/>
    </xf>
    <xf numFmtId="0" fontId="5" fillId="4" borderId="0" xfId="0" applyFont="1" applyFill="1" applyAlignment="1" applyProtection="1">
      <alignment horizontal="left" vertical="center"/>
      <protection locked="0"/>
    </xf>
    <xf numFmtId="0" fontId="0" fillId="4" borderId="0" xfId="0" applyFill="1" applyProtection="1">
      <protection locked="0"/>
    </xf>
    <xf numFmtId="0" fontId="8" fillId="5" borderId="1" xfId="0" applyFont="1" applyFill="1" applyBorder="1" applyAlignment="1" applyProtection="1">
      <alignment horizontal="left" vertical="center"/>
      <protection locked="0"/>
    </xf>
    <xf numFmtId="0" fontId="15" fillId="3" borderId="1" xfId="0" applyFont="1" applyFill="1" applyBorder="1" applyAlignment="1" applyProtection="1">
      <alignment horizontal="left" vertical="center"/>
      <protection locked="0"/>
    </xf>
    <xf numFmtId="0" fontId="14" fillId="0" borderId="0" xfId="0" applyFont="1" applyAlignment="1" applyProtection="1">
      <alignment horizontal="left" vertical="center" wrapText="1"/>
      <protection locked="0"/>
    </xf>
    <xf numFmtId="0" fontId="15" fillId="9" borderId="1"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0" fillId="2" borderId="0" xfId="0" applyFill="1" applyProtection="1">
      <protection locked="0"/>
    </xf>
    <xf numFmtId="0" fontId="16" fillId="5" borderId="1" xfId="0" applyFont="1" applyFill="1" applyBorder="1" applyAlignment="1" applyProtection="1">
      <alignment horizontal="left" vertical="center"/>
      <protection locked="0"/>
    </xf>
    <xf numFmtId="0" fontId="17" fillId="11" borderId="1" xfId="0" applyFont="1" applyFill="1" applyBorder="1" applyAlignment="1" applyProtection="1">
      <alignment horizontal="left" vertical="center"/>
      <protection locked="0"/>
    </xf>
    <xf numFmtId="0" fontId="18" fillId="0" borderId="0" xfId="0" applyFont="1" applyAlignment="1" applyProtection="1">
      <alignment horizontal="left" vertical="center" wrapText="1"/>
      <protection locked="0"/>
    </xf>
    <xf numFmtId="0" fontId="16" fillId="0" borderId="0" xfId="0" applyFont="1" applyProtection="1">
      <protection locked="0"/>
    </xf>
    <xf numFmtId="0" fontId="18" fillId="0" borderId="0" xfId="0" applyFont="1" applyProtection="1">
      <protection locked="0"/>
    </xf>
    <xf numFmtId="0" fontId="44" fillId="23" borderId="0" xfId="0" applyFont="1" applyFill="1" applyAlignment="1" applyProtection="1">
      <alignment horizontal="left" vertical="center"/>
      <protection locked="0"/>
    </xf>
    <xf numFmtId="0" fontId="46" fillId="23" borderId="0" xfId="0" applyFont="1" applyFill="1" applyAlignment="1" applyProtection="1">
      <alignment horizontal="left" vertical="center" wrapText="1"/>
      <protection locked="0"/>
    </xf>
    <xf numFmtId="0" fontId="12" fillId="2" borderId="0" xfId="0" applyFont="1" applyFill="1" applyAlignment="1" applyProtection="1">
      <alignment horizontal="left" vertical="center"/>
      <protection locked="0"/>
    </xf>
    <xf numFmtId="164" fontId="16" fillId="12" borderId="0" xfId="0" applyNumberFormat="1" applyFont="1" applyFill="1" applyAlignment="1">
      <alignment horizontal="left" vertical="center"/>
    </xf>
    <xf numFmtId="0" fontId="19" fillId="2" borderId="0" xfId="0" applyFont="1" applyFill="1" applyAlignment="1" applyProtection="1">
      <alignment horizontal="left" vertical="center"/>
      <protection locked="0"/>
    </xf>
    <xf numFmtId="0" fontId="20" fillId="2" borderId="5" xfId="0" applyFont="1" applyFill="1" applyBorder="1" applyAlignment="1" applyProtection="1">
      <alignment horizontal="center" vertical="center" wrapText="1"/>
      <protection locked="0"/>
    </xf>
    <xf numFmtId="0" fontId="20" fillId="13" borderId="5" xfId="0" applyFont="1" applyFill="1" applyBorder="1" applyAlignment="1" applyProtection="1">
      <alignment horizontal="center" vertical="center" wrapText="1"/>
      <protection locked="0"/>
    </xf>
    <xf numFmtId="0" fontId="36" fillId="30" borderId="5" xfId="0" applyFont="1" applyFill="1" applyBorder="1" applyAlignment="1" applyProtection="1">
      <alignment horizontal="center" vertical="center" wrapText="1"/>
      <protection locked="0"/>
    </xf>
    <xf numFmtId="0" fontId="20" fillId="4" borderId="5" xfId="0" applyFont="1" applyFill="1" applyBorder="1" applyAlignment="1" applyProtection="1">
      <alignment horizontal="center" vertical="center" wrapText="1"/>
      <protection locked="0"/>
    </xf>
    <xf numFmtId="0" fontId="20" fillId="14" borderId="5" xfId="0" applyFont="1" applyFill="1" applyBorder="1" applyAlignment="1" applyProtection="1">
      <alignment horizontal="center" vertical="center" wrapText="1"/>
      <protection locked="0"/>
    </xf>
    <xf numFmtId="0" fontId="36" fillId="14" borderId="5" xfId="0" applyFont="1" applyFill="1" applyBorder="1" applyAlignment="1" applyProtection="1">
      <alignment horizontal="center" vertical="center" wrapText="1"/>
      <protection locked="0"/>
    </xf>
    <xf numFmtId="0" fontId="38" fillId="21" borderId="5" xfId="0" applyFont="1" applyFill="1" applyBorder="1" applyAlignment="1" applyProtection="1">
      <alignment horizontal="center" vertical="center" wrapText="1"/>
      <protection locked="0"/>
    </xf>
    <xf numFmtId="0" fontId="36" fillId="13" borderId="5" xfId="0" applyFont="1" applyFill="1" applyBorder="1" applyAlignment="1" applyProtection="1">
      <alignment horizontal="center" vertical="center" wrapText="1"/>
      <protection locked="0"/>
    </xf>
    <xf numFmtId="0" fontId="65" fillId="43" borderId="12" xfId="0" applyFont="1" applyFill="1" applyBorder="1" applyAlignment="1" applyProtection="1">
      <alignment horizontal="center" vertical="center" wrapText="1"/>
      <protection locked="0"/>
    </xf>
    <xf numFmtId="0" fontId="63" fillId="43" borderId="11" xfId="0" applyFont="1" applyFill="1" applyBorder="1" applyAlignment="1" applyProtection="1">
      <alignment horizontal="left" vertical="center" wrapText="1"/>
      <protection locked="0"/>
    </xf>
    <xf numFmtId="0" fontId="64" fillId="43" borderId="11" xfId="0" applyFont="1" applyFill="1" applyBorder="1" applyAlignment="1" applyProtection="1">
      <alignment horizontal="center" vertical="center" wrapText="1"/>
      <protection locked="0"/>
    </xf>
    <xf numFmtId="2" fontId="64" fillId="43" borderId="11" xfId="0" applyNumberFormat="1" applyFont="1" applyFill="1" applyBorder="1" applyAlignment="1" applyProtection="1">
      <alignment horizontal="center" vertical="center" wrapText="1"/>
      <protection locked="0"/>
    </xf>
    <xf numFmtId="168" fontId="64" fillId="43" borderId="11" xfId="0" applyNumberFormat="1" applyFont="1" applyFill="1" applyBorder="1" applyAlignment="1" applyProtection="1">
      <alignment horizontal="center" vertical="center" wrapText="1"/>
      <protection locked="0"/>
    </xf>
    <xf numFmtId="171" fontId="64" fillId="43" borderId="11" xfId="0" applyNumberFormat="1" applyFont="1" applyFill="1" applyBorder="1" applyAlignment="1" applyProtection="1">
      <alignment horizontal="right" vertical="center" wrapText="1"/>
      <protection locked="0"/>
    </xf>
    <xf numFmtId="9" fontId="64" fillId="43" borderId="11" xfId="0" applyNumberFormat="1" applyFont="1" applyFill="1" applyBorder="1" applyAlignment="1" applyProtection="1">
      <alignment horizontal="center" vertical="center" wrapText="1"/>
      <protection locked="0"/>
    </xf>
    <xf numFmtId="0" fontId="62" fillId="43" borderId="12" xfId="0" applyFont="1" applyFill="1" applyBorder="1" applyAlignment="1" applyProtection="1">
      <alignment horizontal="center" vertical="center" wrapText="1"/>
      <protection locked="0"/>
    </xf>
    <xf numFmtId="0" fontId="62" fillId="43" borderId="11" xfId="0" applyFont="1" applyFill="1" applyBorder="1" applyAlignment="1" applyProtection="1">
      <alignment horizontal="center" vertical="center" wrapText="1"/>
      <protection locked="0"/>
    </xf>
    <xf numFmtId="0" fontId="62" fillId="43" borderId="13" xfId="0" applyFont="1" applyFill="1" applyBorder="1" applyAlignment="1" applyProtection="1">
      <alignment horizontal="center" vertical="center" wrapText="1"/>
      <protection locked="0"/>
    </xf>
    <xf numFmtId="0" fontId="21" fillId="5" borderId="10" xfId="0" applyFont="1" applyFill="1" applyBorder="1" applyAlignment="1" applyProtection="1">
      <alignment horizontal="center" vertical="center"/>
      <protection locked="0"/>
    </xf>
    <xf numFmtId="0" fontId="15" fillId="5" borderId="10" xfId="0" applyFont="1" applyFill="1" applyBorder="1" applyAlignment="1" applyProtection="1">
      <alignment horizontal="center" vertical="center"/>
      <protection locked="0"/>
    </xf>
    <xf numFmtId="0" fontId="15" fillId="15" borderId="10" xfId="0" applyFont="1" applyFill="1" applyBorder="1" applyAlignment="1" applyProtection="1">
      <alignment horizontal="center" vertical="center"/>
      <protection locked="0"/>
    </xf>
    <xf numFmtId="2" fontId="15" fillId="15" borderId="10" xfId="0" applyNumberFormat="1" applyFont="1" applyFill="1" applyBorder="1" applyAlignment="1" applyProtection="1">
      <alignment horizontal="center" vertical="center"/>
      <protection locked="0"/>
    </xf>
    <xf numFmtId="168" fontId="51" fillId="31" borderId="10" xfId="0" applyNumberFormat="1" applyFont="1" applyFill="1" applyBorder="1" applyAlignment="1" applyProtection="1">
      <alignment horizontal="center" vertical="center"/>
      <protection locked="0"/>
    </xf>
    <xf numFmtId="166" fontId="15" fillId="5" borderId="10" xfId="0" applyNumberFormat="1" applyFont="1" applyFill="1" applyBorder="1" applyAlignment="1" applyProtection="1">
      <alignment horizontal="right" vertical="center"/>
      <protection locked="0"/>
    </xf>
    <xf numFmtId="164" fontId="15" fillId="8" borderId="10" xfId="0" applyNumberFormat="1" applyFont="1" applyFill="1" applyBorder="1" applyAlignment="1" applyProtection="1">
      <alignment horizontal="right" vertical="center"/>
      <protection locked="0"/>
    </xf>
    <xf numFmtId="166" fontId="39" fillId="22" borderId="10" xfId="1" applyNumberFormat="1" applyFont="1" applyFill="1" applyBorder="1" applyAlignment="1" applyProtection="1">
      <alignment horizontal="right" vertical="center" wrapText="1"/>
      <protection locked="0"/>
    </xf>
    <xf numFmtId="0" fontId="24" fillId="15" borderId="10" xfId="0" applyFont="1" applyFill="1" applyBorder="1" applyAlignment="1" applyProtection="1">
      <alignment horizontal="left" vertical="center" wrapText="1"/>
      <protection locked="0"/>
    </xf>
    <xf numFmtId="0" fontId="24" fillId="15" borderId="10" xfId="0" applyFont="1" applyFill="1" applyBorder="1" applyAlignment="1" applyProtection="1">
      <alignment horizontal="center" vertical="center"/>
      <protection locked="0"/>
    </xf>
    <xf numFmtId="0" fontId="21" fillId="7" borderId="1" xfId="0" applyFont="1" applyFill="1" applyBorder="1" applyAlignment="1" applyProtection="1">
      <alignment horizontal="center" vertical="center"/>
      <protection locked="0"/>
    </xf>
    <xf numFmtId="0" fontId="22" fillId="3" borderId="1" xfId="0" applyFont="1" applyFill="1" applyBorder="1" applyAlignment="1" applyProtection="1">
      <alignment horizontal="left" vertical="center"/>
      <protection locked="0"/>
    </xf>
    <xf numFmtId="0" fontId="15" fillId="7" borderId="1" xfId="0" applyFont="1" applyFill="1" applyBorder="1" applyAlignment="1" applyProtection="1">
      <alignment horizontal="center" vertical="center"/>
      <protection locked="0"/>
    </xf>
    <xf numFmtId="0" fontId="15" fillId="15" borderId="1" xfId="0" applyFont="1" applyFill="1" applyBorder="1" applyAlignment="1" applyProtection="1">
      <alignment horizontal="center" vertical="center"/>
      <protection locked="0"/>
    </xf>
    <xf numFmtId="2" fontId="15" fillId="15" borderId="1" xfId="0" applyNumberFormat="1" applyFont="1" applyFill="1" applyBorder="1" applyAlignment="1" applyProtection="1">
      <alignment horizontal="center" vertical="center"/>
      <protection locked="0"/>
    </xf>
    <xf numFmtId="168" fontId="51" fillId="31" borderId="1" xfId="0" applyNumberFormat="1" applyFont="1" applyFill="1" applyBorder="1" applyAlignment="1" applyProtection="1">
      <alignment horizontal="center" vertical="center"/>
      <protection locked="0"/>
    </xf>
    <xf numFmtId="166" fontId="15" fillId="7" borderId="1" xfId="0" applyNumberFormat="1" applyFont="1" applyFill="1" applyBorder="1" applyAlignment="1" applyProtection="1">
      <alignment horizontal="right" vertical="center"/>
      <protection locked="0"/>
    </xf>
    <xf numFmtId="164" fontId="15" fillId="8" borderId="1" xfId="0" applyNumberFormat="1" applyFont="1" applyFill="1" applyBorder="1" applyAlignment="1" applyProtection="1">
      <alignment horizontal="right" vertical="center"/>
      <protection locked="0"/>
    </xf>
    <xf numFmtId="166" fontId="39" fillId="22" borderId="1" xfId="1" applyNumberFormat="1" applyFont="1" applyFill="1" applyBorder="1" applyAlignment="1" applyProtection="1">
      <alignment horizontal="right" vertical="center" wrapText="1"/>
      <protection locked="0"/>
    </xf>
    <xf numFmtId="0" fontId="24" fillId="15" borderId="1" xfId="0" applyFont="1" applyFill="1" applyBorder="1" applyAlignment="1" applyProtection="1">
      <alignment horizontal="left" vertical="center" wrapText="1"/>
      <protection locked="0"/>
    </xf>
    <xf numFmtId="0" fontId="24" fillId="15" borderId="1" xfId="0" applyFont="1" applyFill="1" applyBorder="1" applyAlignment="1" applyProtection="1">
      <alignment horizontal="center" vertical="center"/>
      <protection locked="0"/>
    </xf>
    <xf numFmtId="0" fontId="21"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166" fontId="15" fillId="5" borderId="1" xfId="0" applyNumberFormat="1" applyFont="1" applyFill="1" applyBorder="1" applyAlignment="1" applyProtection="1">
      <alignment horizontal="right" vertical="center"/>
      <protection locked="0"/>
    </xf>
    <xf numFmtId="167" fontId="15" fillId="5" borderId="1" xfId="0" applyNumberFormat="1" applyFont="1" applyFill="1" applyBorder="1" applyAlignment="1" applyProtection="1">
      <alignment horizontal="right" vertical="center"/>
      <protection locked="0"/>
    </xf>
    <xf numFmtId="167" fontId="15" fillId="7" borderId="1" xfId="0" applyNumberFormat="1" applyFont="1" applyFill="1" applyBorder="1" applyAlignment="1" applyProtection="1">
      <alignment horizontal="right" vertical="center"/>
      <protection locked="0"/>
    </xf>
    <xf numFmtId="0" fontId="20" fillId="16" borderId="0" xfId="0" applyFont="1" applyFill="1" applyAlignment="1" applyProtection="1">
      <alignment horizontal="center" vertical="center" wrapText="1"/>
      <protection locked="0"/>
    </xf>
    <xf numFmtId="0" fontId="25" fillId="11" borderId="0" xfId="0" applyFont="1" applyFill="1" applyAlignment="1" applyProtection="1">
      <alignment horizontal="left" vertical="center" wrapText="1"/>
      <protection locked="0"/>
    </xf>
    <xf numFmtId="0" fontId="17" fillId="11" borderId="0" xfId="0" applyFont="1" applyFill="1" applyAlignment="1" applyProtection="1">
      <alignment horizontal="center" vertical="center"/>
      <protection locked="0"/>
    </xf>
    <xf numFmtId="2" fontId="17" fillId="11" borderId="0" xfId="0" applyNumberFormat="1" applyFont="1" applyFill="1" applyAlignment="1" applyProtection="1">
      <alignment horizontal="center" vertical="center"/>
      <protection locked="0"/>
    </xf>
    <xf numFmtId="168" fontId="51" fillId="27" borderId="0" xfId="0" applyNumberFormat="1" applyFont="1" applyFill="1" applyAlignment="1" applyProtection="1">
      <alignment horizontal="center" vertical="center"/>
      <protection locked="0"/>
    </xf>
    <xf numFmtId="166" fontId="17" fillId="11" borderId="2" xfId="0" applyNumberFormat="1" applyFont="1" applyFill="1" applyBorder="1" applyAlignment="1" applyProtection="1">
      <alignment horizontal="right" vertical="center"/>
      <protection locked="0"/>
    </xf>
    <xf numFmtId="164" fontId="17" fillId="11" borderId="0" xfId="0" applyNumberFormat="1" applyFont="1" applyFill="1" applyAlignment="1" applyProtection="1">
      <alignment horizontal="right" vertical="center"/>
      <protection locked="0"/>
    </xf>
    <xf numFmtId="166" fontId="39" fillId="27" borderId="1" xfId="1" applyNumberFormat="1" applyFont="1" applyFill="1" applyBorder="1" applyAlignment="1" applyProtection="1">
      <alignment horizontal="right" vertical="center" wrapText="1"/>
      <protection locked="0"/>
    </xf>
    <xf numFmtId="0" fontId="17" fillId="26" borderId="0" xfId="0" applyFont="1" applyFill="1" applyAlignment="1" applyProtection="1">
      <alignment horizontal="left" vertical="center" wrapText="1"/>
      <protection locked="0"/>
    </xf>
    <xf numFmtId="0" fontId="17" fillId="11" borderId="0" xfId="0" applyFont="1" applyFill="1" applyAlignment="1" applyProtection="1">
      <alignment horizontal="left" vertical="center" wrapText="1"/>
      <protection locked="0"/>
    </xf>
    <xf numFmtId="0" fontId="10" fillId="32" borderId="0" xfId="0" applyFont="1" applyFill="1" applyAlignment="1" applyProtection="1">
      <alignment horizontal="left" vertical="center"/>
      <protection locked="0"/>
    </xf>
    <xf numFmtId="0" fontId="10" fillId="8" borderId="0" xfId="0" applyFont="1" applyFill="1" applyAlignment="1" applyProtection="1">
      <alignment horizontal="left" vertical="center"/>
      <protection locked="0"/>
    </xf>
    <xf numFmtId="0" fontId="0" fillId="8" borderId="0" xfId="0" applyFill="1" applyProtection="1">
      <protection locked="0"/>
    </xf>
    <xf numFmtId="0" fontId="12" fillId="2" borderId="0" xfId="0" applyFont="1" applyFill="1" applyProtection="1">
      <protection locked="0"/>
    </xf>
    <xf numFmtId="167" fontId="23" fillId="8" borderId="1" xfId="0" applyNumberFormat="1" applyFont="1" applyFill="1" applyBorder="1" applyAlignment="1">
      <alignment horizontal="right" vertical="center"/>
    </xf>
    <xf numFmtId="167" fontId="9" fillId="8" borderId="1" xfId="0" applyNumberFormat="1" applyFont="1" applyFill="1" applyBorder="1" applyAlignment="1">
      <alignment horizontal="right" vertical="center"/>
    </xf>
    <xf numFmtId="0" fontId="50" fillId="24" borderId="0" xfId="0" applyFont="1" applyFill="1" applyAlignment="1">
      <alignment horizontal="left"/>
    </xf>
    <xf numFmtId="0" fontId="0" fillId="39" borderId="0" xfId="0" applyFill="1" applyProtection="1">
      <protection locked="0"/>
    </xf>
    <xf numFmtId="0" fontId="14" fillId="0" borderId="0" xfId="0" applyFont="1" applyProtection="1">
      <protection locked="0"/>
    </xf>
    <xf numFmtId="0" fontId="20" fillId="6" borderId="5" xfId="0" applyFont="1" applyFill="1" applyBorder="1" applyAlignment="1" applyProtection="1">
      <alignment horizontal="center" vertical="center" wrapText="1"/>
      <protection locked="0"/>
    </xf>
    <xf numFmtId="0" fontId="36" fillId="6" borderId="5" xfId="0" applyFont="1" applyFill="1" applyBorder="1" applyAlignment="1" applyProtection="1">
      <alignment horizontal="center" vertical="center" wrapText="1"/>
      <protection locked="0"/>
    </xf>
    <xf numFmtId="0" fontId="36" fillId="39" borderId="5" xfId="0" applyFont="1" applyFill="1" applyBorder="1" applyAlignment="1" applyProtection="1">
      <alignment horizontal="center" vertical="center" wrapText="1"/>
      <protection locked="0"/>
    </xf>
    <xf numFmtId="0" fontId="41" fillId="44" borderId="12" xfId="0" applyFont="1" applyFill="1" applyBorder="1" applyAlignment="1" applyProtection="1">
      <alignment horizontal="center" vertical="center" wrapText="1"/>
      <protection locked="0"/>
    </xf>
    <xf numFmtId="0" fontId="64" fillId="43" borderId="11" xfId="0" applyFont="1" applyFill="1" applyBorder="1" applyAlignment="1" applyProtection="1">
      <alignment horizontal="left" vertical="center" wrapText="1"/>
      <protection locked="0"/>
    </xf>
    <xf numFmtId="0" fontId="64" fillId="43" borderId="13" xfId="0" applyFont="1" applyFill="1" applyBorder="1" applyAlignment="1" applyProtection="1">
      <alignment horizontal="left" vertical="center" wrapText="1"/>
      <protection locked="0"/>
    </xf>
    <xf numFmtId="0" fontId="26" fillId="17" borderId="10"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wrapText="1"/>
      <protection locked="0"/>
    </xf>
    <xf numFmtId="0" fontId="51" fillId="42" borderId="10" xfId="0" applyFont="1" applyFill="1" applyBorder="1" applyAlignment="1" applyProtection="1">
      <alignment horizontal="center" vertical="center" wrapText="1"/>
      <protection locked="0"/>
    </xf>
    <xf numFmtId="168" fontId="51" fillId="31" borderId="10" xfId="0" applyNumberFormat="1" applyFont="1" applyFill="1" applyBorder="1" applyAlignment="1" applyProtection="1">
      <alignment horizontal="center" vertical="center" wrapText="1"/>
      <protection locked="0"/>
    </xf>
    <xf numFmtId="171" fontId="51" fillId="41" borderId="10" xfId="0" applyNumberFormat="1" applyFont="1" applyFill="1" applyBorder="1" applyAlignment="1" applyProtection="1">
      <alignment horizontal="right" vertical="center" wrapText="1"/>
      <protection locked="0"/>
    </xf>
    <xf numFmtId="9" fontId="51" fillId="41" borderId="10" xfId="0" applyNumberFormat="1" applyFont="1" applyFill="1" applyBorder="1" applyAlignment="1" applyProtection="1">
      <alignment horizontal="center" vertical="center" wrapText="1"/>
      <protection locked="0"/>
    </xf>
    <xf numFmtId="0" fontId="51" fillId="40" borderId="17" xfId="0" applyFont="1" applyFill="1" applyBorder="1" applyAlignment="1" applyProtection="1">
      <alignment horizontal="left"/>
      <protection locked="0"/>
    </xf>
    <xf numFmtId="0" fontId="51" fillId="40" borderId="10" xfId="0" applyFont="1" applyFill="1" applyBorder="1" applyAlignment="1" applyProtection="1">
      <alignment horizontal="left"/>
      <protection locked="0"/>
    </xf>
    <xf numFmtId="0" fontId="26" fillId="7" borderId="1" xfId="0" applyFont="1" applyFill="1" applyBorder="1" applyAlignment="1" applyProtection="1">
      <alignment horizontal="center" vertical="center"/>
      <protection locked="0"/>
    </xf>
    <xf numFmtId="0" fontId="15" fillId="3" borderId="1" xfId="0" applyFont="1" applyFill="1" applyBorder="1" applyAlignment="1" applyProtection="1">
      <alignment horizontal="center" vertical="center" wrapText="1"/>
      <protection locked="0"/>
    </xf>
    <xf numFmtId="0" fontId="51" fillId="42" borderId="1" xfId="0" applyFont="1" applyFill="1" applyBorder="1" applyAlignment="1" applyProtection="1">
      <alignment horizontal="center" vertical="center" wrapText="1"/>
      <protection locked="0"/>
    </xf>
    <xf numFmtId="168" fontId="51" fillId="31" borderId="1" xfId="0" applyNumberFormat="1" applyFont="1" applyFill="1" applyBorder="1" applyAlignment="1" applyProtection="1">
      <alignment horizontal="center" vertical="center" wrapText="1"/>
      <protection locked="0"/>
    </xf>
    <xf numFmtId="171" fontId="51" fillId="41" borderId="1" xfId="0" applyNumberFormat="1" applyFont="1" applyFill="1" applyBorder="1" applyAlignment="1" applyProtection="1">
      <alignment horizontal="right" vertical="center" wrapText="1"/>
      <protection locked="0"/>
    </xf>
    <xf numFmtId="9" fontId="51" fillId="41" borderId="1" xfId="0" applyNumberFormat="1" applyFont="1" applyFill="1" applyBorder="1" applyAlignment="1" applyProtection="1">
      <alignment horizontal="center" vertical="center" wrapText="1"/>
      <protection locked="0"/>
    </xf>
    <xf numFmtId="0" fontId="51" fillId="40" borderId="3" xfId="0" applyFont="1" applyFill="1" applyBorder="1" applyAlignment="1" applyProtection="1">
      <alignment horizontal="left"/>
      <protection locked="0"/>
    </xf>
    <xf numFmtId="0" fontId="51" fillId="40" borderId="1" xfId="0" applyFont="1" applyFill="1" applyBorder="1" applyAlignment="1" applyProtection="1">
      <alignment horizontal="left"/>
      <protection locked="0"/>
    </xf>
    <xf numFmtId="0" fontId="26" fillId="17" borderId="1" xfId="0" applyFont="1" applyFill="1" applyBorder="1" applyAlignment="1" applyProtection="1">
      <alignment horizontal="center" vertical="center"/>
      <protection locked="0"/>
    </xf>
    <xf numFmtId="0" fontId="8" fillId="17" borderId="1" xfId="0" applyFont="1" applyFill="1" applyBorder="1" applyAlignment="1" applyProtection="1">
      <alignment horizontal="left" vertical="center"/>
      <protection locked="0"/>
    </xf>
    <xf numFmtId="169" fontId="64" fillId="43" borderId="11" xfId="0" applyNumberFormat="1" applyFont="1" applyFill="1" applyBorder="1" applyAlignment="1">
      <alignment horizontal="right" vertical="center" wrapText="1"/>
    </xf>
    <xf numFmtId="171" fontId="64" fillId="43" borderId="11" xfId="0" applyNumberFormat="1" applyFont="1" applyFill="1" applyBorder="1" applyAlignment="1">
      <alignment horizontal="right" vertical="center" wrapText="1"/>
    </xf>
    <xf numFmtId="170" fontId="64" fillId="43" borderId="11" xfId="0" applyNumberFormat="1" applyFont="1" applyFill="1" applyBorder="1" applyAlignment="1">
      <alignment horizontal="right" vertical="center" wrapText="1"/>
    </xf>
    <xf numFmtId="169" fontId="51" fillId="31" borderId="10" xfId="0" applyNumberFormat="1" applyFont="1" applyFill="1" applyBorder="1" applyAlignment="1">
      <alignment horizontal="right" vertical="center" wrapText="1"/>
    </xf>
    <xf numFmtId="167" fontId="9" fillId="17" borderId="15" xfId="0" applyNumberFormat="1" applyFont="1" applyFill="1" applyBorder="1" applyAlignment="1">
      <alignment horizontal="right" vertical="center"/>
    </xf>
    <xf numFmtId="170" fontId="37" fillId="40" borderId="16" xfId="0" applyNumberFormat="1" applyFont="1" applyFill="1" applyBorder="1" applyAlignment="1">
      <alignment horizontal="right" vertical="center"/>
    </xf>
    <xf numFmtId="169" fontId="51" fillId="31" borderId="1" xfId="0" applyNumberFormat="1" applyFont="1" applyFill="1" applyBorder="1" applyAlignment="1">
      <alignment horizontal="right" vertical="center" wrapText="1"/>
    </xf>
    <xf numFmtId="167" fontId="9" fillId="17" borderId="9" xfId="0" applyNumberFormat="1" applyFont="1" applyFill="1" applyBorder="1" applyAlignment="1">
      <alignment horizontal="right" vertical="center"/>
    </xf>
    <xf numFmtId="170" fontId="37" fillId="40" borderId="5" xfId="0" applyNumberFormat="1" applyFont="1" applyFill="1" applyBorder="1" applyAlignment="1">
      <alignment horizontal="right" vertical="center"/>
    </xf>
    <xf numFmtId="170" fontId="37" fillId="40" borderId="1" xfId="0" applyNumberFormat="1" applyFont="1" applyFill="1" applyBorder="1" applyAlignment="1">
      <alignment horizontal="right" vertical="center"/>
    </xf>
    <xf numFmtId="167" fontId="28" fillId="17" borderId="1" xfId="0" applyNumberFormat="1" applyFont="1" applyFill="1" applyBorder="1" applyAlignment="1">
      <alignment horizontal="right" vertical="center"/>
    </xf>
    <xf numFmtId="0" fontId="5" fillId="4" borderId="1" xfId="0" applyFont="1" applyFill="1" applyBorder="1" applyAlignment="1" applyProtection="1">
      <alignment horizontal="center" vertical="center"/>
      <protection locked="0"/>
    </xf>
    <xf numFmtId="0" fontId="5" fillId="14" borderId="1" xfId="0" applyFont="1" applyFill="1" applyBorder="1" applyAlignment="1" applyProtection="1">
      <alignment horizontal="center" vertical="center"/>
      <protection locked="0"/>
    </xf>
    <xf numFmtId="0" fontId="5" fillId="14" borderId="0" xfId="0" applyFont="1" applyFill="1" applyAlignment="1" applyProtection="1">
      <alignment horizontal="left" vertical="center"/>
      <protection locked="0"/>
    </xf>
    <xf numFmtId="0" fontId="0" fillId="14" borderId="0" xfId="0" applyFill="1" applyProtection="1">
      <protection locked="0"/>
    </xf>
    <xf numFmtId="0" fontId="8" fillId="18" borderId="1" xfId="0" applyFont="1" applyFill="1" applyBorder="1" applyAlignment="1" applyProtection="1">
      <alignment horizontal="left" vertical="center" wrapText="1"/>
      <protection locked="0"/>
    </xf>
    <xf numFmtId="0" fontId="30" fillId="8" borderId="1" xfId="0" applyFont="1" applyFill="1" applyBorder="1" applyProtection="1">
      <protection locked="0"/>
    </xf>
    <xf numFmtId="0" fontId="14" fillId="8" borderId="1" xfId="0" applyFont="1" applyFill="1" applyBorder="1" applyProtection="1">
      <protection locked="0"/>
    </xf>
    <xf numFmtId="0" fontId="8" fillId="5" borderId="1" xfId="0" applyFont="1" applyFill="1" applyBorder="1" applyAlignment="1" applyProtection="1">
      <alignment horizontal="left" vertical="center" wrapText="1"/>
      <protection locked="0"/>
    </xf>
    <xf numFmtId="0" fontId="31" fillId="5" borderId="1" xfId="0" applyFont="1" applyFill="1" applyBorder="1" applyAlignment="1" applyProtection="1">
      <alignment horizontal="center" vertical="center"/>
      <protection locked="0"/>
    </xf>
    <xf numFmtId="1" fontId="32" fillId="5" borderId="1" xfId="0" applyNumberFormat="1" applyFont="1" applyFill="1" applyBorder="1" applyAlignment="1" applyProtection="1">
      <alignment horizontal="right" vertical="center"/>
      <protection locked="0"/>
    </xf>
    <xf numFmtId="0" fontId="33" fillId="18" borderId="1" xfId="0" applyFont="1" applyFill="1" applyBorder="1" applyAlignment="1" applyProtection="1">
      <alignment horizontal="left" vertical="center" wrapText="1"/>
      <protection locked="0"/>
    </xf>
    <xf numFmtId="1" fontId="15" fillId="3" borderId="1" xfId="0" applyNumberFormat="1" applyFont="1" applyFill="1" applyBorder="1" applyAlignment="1" applyProtection="1">
      <alignment horizontal="right" vertical="center"/>
      <protection locked="0"/>
    </xf>
    <xf numFmtId="0" fontId="54" fillId="18" borderId="1" xfId="0" applyFont="1" applyFill="1" applyBorder="1" applyAlignment="1" applyProtection="1">
      <alignment horizontal="left" vertical="center" wrapText="1"/>
      <protection locked="0"/>
    </xf>
    <xf numFmtId="0" fontId="27" fillId="14" borderId="0" xfId="0" applyFont="1" applyFill="1" applyAlignment="1" applyProtection="1">
      <alignment horizontal="left" vertical="center"/>
      <protection locked="0"/>
    </xf>
    <xf numFmtId="167" fontId="15" fillId="3" borderId="1" xfId="0" applyNumberFormat="1" applyFont="1" applyFill="1" applyBorder="1" applyAlignment="1" applyProtection="1">
      <alignment horizontal="right" vertical="center"/>
      <protection locked="0"/>
    </xf>
    <xf numFmtId="167" fontId="15" fillId="35" borderId="1" xfId="0" applyNumberFormat="1" applyFont="1" applyFill="1" applyBorder="1" applyAlignment="1" applyProtection="1">
      <alignment horizontal="right" vertical="center"/>
      <protection locked="0"/>
    </xf>
    <xf numFmtId="167" fontId="15" fillId="34" borderId="1" xfId="0" applyNumberFormat="1" applyFont="1" applyFill="1" applyBorder="1" applyAlignment="1" applyProtection="1">
      <alignment horizontal="right" vertical="center"/>
      <protection locked="0"/>
    </xf>
    <xf numFmtId="167" fontId="23" fillId="5" borderId="1" xfId="0" applyNumberFormat="1" applyFont="1" applyFill="1" applyBorder="1" applyAlignment="1" applyProtection="1">
      <alignment horizontal="right" vertical="center"/>
      <protection locked="0"/>
    </xf>
    <xf numFmtId="0" fontId="55" fillId="18" borderId="1" xfId="0" applyFont="1" applyFill="1" applyBorder="1" applyAlignment="1" applyProtection="1">
      <alignment horizontal="left" vertical="center" wrapText="1"/>
      <protection locked="0"/>
    </xf>
    <xf numFmtId="0" fontId="41" fillId="36" borderId="0" xfId="0" applyFont="1" applyFill="1" applyAlignment="1" applyProtection="1">
      <alignment horizontal="left" vertical="center" wrapText="1"/>
      <protection locked="0"/>
    </xf>
    <xf numFmtId="0" fontId="0" fillId="6" borderId="0" xfId="0" applyFill="1" applyProtection="1">
      <protection locked="0"/>
    </xf>
    <xf numFmtId="49" fontId="53" fillId="37" borderId="8" xfId="0" applyNumberFormat="1" applyFont="1" applyFill="1" applyBorder="1" applyAlignment="1" applyProtection="1">
      <alignment horizontal="center" vertical="center" wrapText="1"/>
      <protection locked="0"/>
    </xf>
    <xf numFmtId="0" fontId="46" fillId="24" borderId="0" xfId="0" applyFont="1" applyFill="1" applyAlignment="1" applyProtection="1">
      <alignment horizontal="left" vertical="center" wrapText="1"/>
      <protection locked="0"/>
    </xf>
    <xf numFmtId="0" fontId="27" fillId="19" borderId="0" xfId="0" applyFont="1" applyFill="1" applyAlignment="1" applyProtection="1">
      <alignment horizontal="left" vertical="center"/>
      <protection locked="0"/>
    </xf>
    <xf numFmtId="0" fontId="0" fillId="19" borderId="0" xfId="0" applyFill="1" applyProtection="1">
      <protection locked="0"/>
    </xf>
    <xf numFmtId="0" fontId="4" fillId="2" borderId="0" xfId="0" applyFont="1" applyFill="1" applyAlignment="1" applyProtection="1">
      <alignment horizontal="left" vertical="center"/>
      <protection locked="0"/>
    </xf>
    <xf numFmtId="0" fontId="27" fillId="2" borderId="0" xfId="0" applyFont="1" applyFill="1" applyAlignment="1" applyProtection="1">
      <alignment horizontal="left" vertical="center"/>
      <protection locked="0"/>
    </xf>
    <xf numFmtId="167" fontId="29" fillId="8" borderId="1" xfId="0" applyNumberFormat="1" applyFont="1" applyFill="1" applyBorder="1" applyAlignment="1">
      <alignment horizontal="right" vertical="center"/>
    </xf>
    <xf numFmtId="164" fontId="29" fillId="3" borderId="1" xfId="0" applyNumberFormat="1" applyFont="1" applyFill="1" applyBorder="1" applyAlignment="1">
      <alignment horizontal="right" vertical="center"/>
    </xf>
    <xf numFmtId="164" fontId="23" fillId="8" borderId="1" xfId="0" applyNumberFormat="1" applyFont="1" applyFill="1" applyBorder="1" applyAlignment="1">
      <alignment horizontal="right" vertical="center"/>
    </xf>
    <xf numFmtId="169" fontId="32" fillId="5" borderId="1" xfId="0" applyNumberFormat="1" applyFont="1" applyFill="1" applyBorder="1" applyAlignment="1">
      <alignment horizontal="right" vertical="center"/>
    </xf>
    <xf numFmtId="1" fontId="9" fillId="8" borderId="1" xfId="0" applyNumberFormat="1" applyFont="1" applyFill="1" applyBorder="1" applyAlignment="1">
      <alignment horizontal="right" vertical="center"/>
    </xf>
    <xf numFmtId="169" fontId="23" fillId="8" borderId="1" xfId="0" applyNumberFormat="1" applyFont="1" applyFill="1" applyBorder="1" applyAlignment="1">
      <alignment horizontal="right" vertical="center"/>
    </xf>
    <xf numFmtId="167" fontId="54" fillId="8" borderId="1" xfId="0" applyNumberFormat="1" applyFont="1" applyFill="1" applyBorder="1" applyAlignment="1">
      <alignment horizontal="right" vertical="center"/>
    </xf>
    <xf numFmtId="167" fontId="27" fillId="14" borderId="1" xfId="0" applyNumberFormat="1" applyFont="1" applyFill="1" applyBorder="1" applyAlignment="1">
      <alignment horizontal="right" vertical="center"/>
    </xf>
    <xf numFmtId="167" fontId="29" fillId="35" borderId="1" xfId="0" applyNumberFormat="1" applyFont="1" applyFill="1" applyBorder="1" applyAlignment="1">
      <alignment horizontal="right" vertical="center"/>
    </xf>
    <xf numFmtId="167" fontId="23" fillId="5" borderId="1" xfId="0" applyNumberFormat="1" applyFont="1" applyFill="1" applyBorder="1" applyAlignment="1">
      <alignment horizontal="right" vertical="center"/>
    </xf>
    <xf numFmtId="167" fontId="23" fillId="17" borderId="4" xfId="0" applyNumberFormat="1" applyFont="1" applyFill="1" applyBorder="1" applyAlignment="1">
      <alignment horizontal="right" vertical="center"/>
    </xf>
    <xf numFmtId="167" fontId="23" fillId="17" borderId="1" xfId="0" applyNumberFormat="1" applyFont="1" applyFill="1" applyBorder="1" applyAlignment="1">
      <alignment horizontal="right" vertical="center"/>
    </xf>
    <xf numFmtId="167" fontId="9" fillId="17" borderId="1" xfId="0" applyNumberFormat="1" applyFont="1" applyFill="1" applyBorder="1" applyAlignment="1">
      <alignment horizontal="right" vertical="center"/>
    </xf>
    <xf numFmtId="167" fontId="27" fillId="19" borderId="1" xfId="0" applyNumberFormat="1" applyFont="1" applyFill="1" applyBorder="1" applyAlignment="1">
      <alignment horizontal="right" vertical="center"/>
    </xf>
    <xf numFmtId="167" fontId="27" fillId="2" borderId="1" xfId="0" applyNumberFormat="1" applyFont="1" applyFill="1" applyBorder="1" applyAlignment="1">
      <alignment horizontal="right" vertical="center"/>
    </xf>
    <xf numFmtId="0" fontId="34" fillId="5" borderId="1" xfId="0" applyFont="1" applyFill="1" applyBorder="1" applyAlignment="1">
      <alignment horizontal="center" vertical="center"/>
    </xf>
    <xf numFmtId="167" fontId="29" fillId="3" borderId="1" xfId="0" applyNumberFormat="1" applyFont="1" applyFill="1" applyBorder="1" applyAlignment="1">
      <alignment horizontal="right" vertical="center"/>
    </xf>
    <xf numFmtId="0" fontId="41" fillId="36" borderId="0" xfId="0" applyFont="1" applyFill="1" applyAlignment="1" applyProtection="1">
      <alignment horizontal="left" vertical="center"/>
      <protection locked="0"/>
    </xf>
    <xf numFmtId="0" fontId="56" fillId="0" borderId="0" xfId="0" applyFont="1" applyAlignment="1" applyProtection="1">
      <alignment horizontal="left" vertical="center" wrapText="1"/>
      <protection locked="0"/>
    </xf>
    <xf numFmtId="172" fontId="45" fillId="23" borderId="8" xfId="0" quotePrefix="1" applyNumberFormat="1" applyFont="1" applyFill="1" applyBorder="1" applyAlignment="1" applyProtection="1">
      <alignment horizontal="center" vertical="center"/>
      <protection locked="0"/>
    </xf>
    <xf numFmtId="0" fontId="8" fillId="17" borderId="5" xfId="0" applyFont="1" applyFill="1" applyBorder="1" applyAlignment="1" applyProtection="1">
      <alignment horizontal="left" vertical="center"/>
      <protection locked="0"/>
    </xf>
    <xf numFmtId="0" fontId="55" fillId="5" borderId="1" xfId="0" applyFont="1" applyFill="1" applyBorder="1" applyAlignment="1" applyProtection="1">
      <alignment horizontal="left" vertical="center"/>
      <protection locked="0"/>
    </xf>
    <xf numFmtId="0" fontId="68" fillId="46" borderId="6" xfId="0" applyFont="1" applyFill="1" applyBorder="1" applyAlignment="1" applyProtection="1">
      <alignment horizontal="center"/>
      <protection locked="0"/>
    </xf>
    <xf numFmtId="0" fontId="67" fillId="45" borderId="7" xfId="0" applyFont="1" applyFill="1" applyBorder="1" applyAlignment="1" applyProtection="1">
      <alignment horizontal="left" vertical="center"/>
      <protection locked="0"/>
    </xf>
    <xf numFmtId="0" fontId="46" fillId="45" borderId="19" xfId="0" applyFont="1" applyFill="1" applyBorder="1" applyProtection="1">
      <protection locked="0"/>
    </xf>
    <xf numFmtId="1" fontId="15" fillId="3" borderId="1" xfId="0" applyNumberFormat="1" applyFont="1" applyFill="1" applyBorder="1" applyAlignment="1">
      <alignment horizontal="right" vertical="center"/>
    </xf>
    <xf numFmtId="167" fontId="15" fillId="3" borderId="1" xfId="0" applyNumberFormat="1" applyFont="1" applyFill="1" applyBorder="1" applyAlignment="1">
      <alignment horizontal="right" vertical="center"/>
    </xf>
    <xf numFmtId="167" fontId="15" fillId="35" borderId="1" xfId="0" applyNumberFormat="1" applyFont="1" applyFill="1" applyBorder="1" applyAlignment="1">
      <alignment horizontal="right" vertical="center"/>
    </xf>
    <xf numFmtId="167" fontId="15" fillId="34" borderId="1" xfId="0" applyNumberFormat="1" applyFont="1" applyFill="1" applyBorder="1" applyAlignment="1">
      <alignment horizontal="right" vertical="center"/>
    </xf>
    <xf numFmtId="0" fontId="8" fillId="18" borderId="5" xfId="0" applyFont="1" applyFill="1" applyBorder="1" applyAlignment="1" applyProtection="1">
      <alignment horizontal="left" vertical="center" wrapText="1"/>
      <protection locked="0"/>
    </xf>
    <xf numFmtId="167" fontId="15" fillId="3" borderId="5" xfId="0" applyNumberFormat="1" applyFont="1" applyFill="1" applyBorder="1" applyAlignment="1" applyProtection="1">
      <alignment horizontal="right" vertical="center"/>
      <protection locked="0"/>
    </xf>
    <xf numFmtId="167" fontId="9" fillId="8" borderId="5" xfId="0" applyNumberFormat="1" applyFont="1" applyFill="1" applyBorder="1" applyAlignment="1">
      <alignment horizontal="right" vertical="center"/>
    </xf>
    <xf numFmtId="0" fontId="69" fillId="18" borderId="1" xfId="0" applyFont="1" applyFill="1" applyBorder="1" applyAlignment="1" applyProtection="1">
      <alignment horizontal="left" vertical="center" wrapText="1"/>
      <protection locked="0"/>
    </xf>
    <xf numFmtId="0" fontId="69" fillId="18" borderId="5" xfId="0" applyFont="1" applyFill="1" applyBorder="1" applyAlignment="1" applyProtection="1">
      <alignment horizontal="left" vertical="center" wrapText="1"/>
      <protection locked="0"/>
    </xf>
    <xf numFmtId="167" fontId="15" fillId="3" borderId="5" xfId="0" applyNumberFormat="1" applyFont="1" applyFill="1" applyBorder="1" applyAlignment="1">
      <alignment horizontal="right" vertical="center"/>
    </xf>
    <xf numFmtId="0" fontId="8" fillId="18" borderId="1" xfId="0" applyFont="1" applyFill="1" applyBorder="1" applyAlignment="1">
      <alignment horizontal="left" vertical="center" wrapText="1"/>
    </xf>
    <xf numFmtId="0" fontId="8" fillId="18" borderId="5" xfId="0" applyFont="1" applyFill="1" applyBorder="1" applyAlignment="1">
      <alignment horizontal="left" vertical="center" wrapText="1"/>
    </xf>
    <xf numFmtId="0" fontId="66" fillId="24" borderId="0" xfId="0" applyFont="1" applyFill="1" applyAlignment="1" applyProtection="1">
      <alignment horizontal="left" vertical="center" wrapText="1"/>
      <protection locked="0"/>
    </xf>
    <xf numFmtId="0" fontId="70" fillId="24" borderId="0" xfId="0" applyFont="1" applyFill="1" applyAlignment="1" applyProtection="1">
      <alignment wrapText="1"/>
      <protection locked="0"/>
    </xf>
    <xf numFmtId="167" fontId="51" fillId="42" borderId="5" xfId="0" applyNumberFormat="1" applyFont="1" applyFill="1" applyBorder="1" applyAlignment="1">
      <alignment horizontal="right" vertical="center"/>
    </xf>
    <xf numFmtId="167" fontId="51" fillId="42" borderId="5" xfId="0" applyNumberFormat="1" applyFont="1" applyFill="1" applyBorder="1" applyAlignment="1" applyProtection="1">
      <alignment horizontal="right" vertical="center"/>
      <protection locked="0"/>
    </xf>
    <xf numFmtId="167" fontId="52" fillId="38" borderId="5" xfId="0" applyNumberFormat="1" applyFont="1" applyFill="1" applyBorder="1" applyAlignment="1">
      <alignment horizontal="right" vertical="center"/>
    </xf>
    <xf numFmtId="167" fontId="37" fillId="22" borderId="5" xfId="0" applyNumberFormat="1" applyFont="1" applyFill="1" applyBorder="1" applyAlignment="1">
      <alignment horizontal="right" vertical="center"/>
    </xf>
    <xf numFmtId="167" fontId="23" fillId="22" borderId="5" xfId="0" applyNumberFormat="1" applyFont="1" applyFill="1" applyBorder="1" applyAlignment="1">
      <alignment horizontal="right" vertical="center"/>
    </xf>
    <xf numFmtId="0" fontId="55" fillId="18" borderId="1" xfId="0" applyFont="1" applyFill="1" applyBorder="1" applyAlignment="1">
      <alignment horizontal="left" vertical="center" wrapText="1"/>
    </xf>
    <xf numFmtId="167" fontId="71" fillId="22" borderId="1" xfId="0" applyNumberFormat="1" applyFont="1" applyFill="1" applyBorder="1" applyAlignment="1">
      <alignment horizontal="right" vertical="center"/>
    </xf>
    <xf numFmtId="167" fontId="52" fillId="22" borderId="1" xfId="0" applyNumberFormat="1" applyFont="1" applyFill="1" applyBorder="1" applyAlignment="1">
      <alignment horizontal="right" vertical="center"/>
    </xf>
    <xf numFmtId="167" fontId="37" fillId="22" borderId="1" xfId="0" applyNumberFormat="1" applyFont="1" applyFill="1" applyBorder="1" applyAlignment="1">
      <alignment horizontal="right" vertical="center"/>
    </xf>
    <xf numFmtId="167" fontId="23" fillId="22" borderId="1" xfId="0" applyNumberFormat="1" applyFont="1" applyFill="1" applyBorder="1" applyAlignment="1">
      <alignment horizontal="right" vertical="center"/>
    </xf>
    <xf numFmtId="0" fontId="66" fillId="0" borderId="0" xfId="0" applyFont="1" applyAlignment="1" applyProtection="1">
      <alignment horizontal="left" vertical="center" wrapText="1"/>
      <protection locked="0"/>
    </xf>
    <xf numFmtId="0" fontId="69" fillId="18" borderId="5" xfId="0" applyFont="1" applyFill="1" applyBorder="1" applyAlignment="1">
      <alignment horizontal="left" vertical="center" wrapText="1"/>
    </xf>
    <xf numFmtId="0" fontId="77" fillId="47" borderId="0" xfId="0" applyFont="1" applyFill="1"/>
    <xf numFmtId="0" fontId="80" fillId="47" borderId="0" xfId="0" applyFont="1" applyFill="1"/>
    <xf numFmtId="0" fontId="76" fillId="47" borderId="0" xfId="0" applyFont="1" applyFill="1"/>
    <xf numFmtId="0" fontId="79" fillId="0" borderId="0" xfId="0" applyFont="1"/>
    <xf numFmtId="0" fontId="81" fillId="0" borderId="0" xfId="0" applyFont="1"/>
    <xf numFmtId="0" fontId="59" fillId="47" borderId="1" xfId="0" applyFont="1" applyFill="1" applyBorder="1"/>
    <xf numFmtId="0" fontId="60" fillId="48" borderId="1" xfId="0" applyFont="1" applyFill="1" applyBorder="1" applyAlignment="1">
      <alignment horizontal="left"/>
    </xf>
    <xf numFmtId="0" fontId="60" fillId="48" borderId="1" xfId="0" applyFont="1" applyFill="1" applyBorder="1" applyAlignment="1">
      <alignment horizontal="right"/>
    </xf>
    <xf numFmtId="0" fontId="61" fillId="47" borderId="1" xfId="0" applyFont="1" applyFill="1" applyBorder="1"/>
    <xf numFmtId="171" fontId="61" fillId="0" borderId="1" xfId="0" applyNumberFormat="1" applyFont="1" applyBorder="1" applyAlignment="1">
      <alignment horizontal="right"/>
    </xf>
    <xf numFmtId="0" fontId="78" fillId="0" borderId="1" xfId="0" applyFont="1" applyBorder="1" applyAlignment="1">
      <alignment horizontal="right"/>
    </xf>
    <xf numFmtId="164" fontId="61" fillId="0" borderId="1" xfId="0" applyNumberFormat="1" applyFont="1" applyBorder="1" applyAlignment="1">
      <alignment horizontal="right"/>
    </xf>
    <xf numFmtId="170" fontId="61" fillId="0" borderId="1" xfId="0" applyNumberFormat="1" applyFont="1" applyBorder="1" applyAlignment="1">
      <alignment horizontal="right"/>
    </xf>
    <xf numFmtId="0" fontId="61" fillId="0" borderId="1" xfId="0" applyFont="1" applyBorder="1" applyAlignment="1">
      <alignment horizontal="right"/>
    </xf>
    <xf numFmtId="1" fontId="61" fillId="0" borderId="1" xfId="0" applyNumberFormat="1" applyFont="1" applyBorder="1" applyAlignment="1">
      <alignment horizontal="right"/>
    </xf>
    <xf numFmtId="0" fontId="0" fillId="0" borderId="1" xfId="0" applyBorder="1"/>
    <xf numFmtId="2" fontId="61" fillId="0" borderId="1" xfId="0" applyNumberFormat="1" applyFont="1" applyBorder="1" applyAlignment="1">
      <alignment horizontal="right"/>
    </xf>
    <xf numFmtId="169" fontId="61" fillId="0" borderId="1" xfId="0" applyNumberFormat="1" applyFont="1" applyBorder="1" applyAlignment="1">
      <alignment horizontal="right"/>
    </xf>
    <xf numFmtId="170" fontId="59" fillId="0" borderId="1" xfId="0" applyNumberFormat="1" applyFont="1" applyBorder="1" applyAlignment="1">
      <alignment horizontal="right"/>
    </xf>
    <xf numFmtId="0" fontId="60" fillId="48" borderId="1" xfId="0" applyFont="1" applyFill="1" applyBorder="1"/>
    <xf numFmtId="0" fontId="59" fillId="42" borderId="1" xfId="0" applyFont="1" applyFill="1" applyBorder="1"/>
    <xf numFmtId="170" fontId="61" fillId="42" borderId="1" xfId="0" applyNumberFormat="1" applyFont="1" applyFill="1" applyBorder="1" applyAlignment="1">
      <alignment horizontal="right"/>
    </xf>
    <xf numFmtId="0" fontId="61" fillId="0" borderId="1" xfId="0" applyFont="1" applyBorder="1"/>
    <xf numFmtId="0" fontId="59" fillId="49" borderId="1" xfId="0" applyFont="1" applyFill="1" applyBorder="1"/>
    <xf numFmtId="170" fontId="61" fillId="49" borderId="1" xfId="0" applyNumberFormat="1" applyFont="1" applyFill="1" applyBorder="1" applyAlignment="1">
      <alignment horizontal="right"/>
    </xf>
    <xf numFmtId="0" fontId="58" fillId="22" borderId="1" xfId="0" applyFont="1" applyFill="1" applyBorder="1"/>
    <xf numFmtId="170" fontId="58" fillId="22" borderId="1" xfId="0" applyNumberFormat="1" applyFont="1" applyFill="1" applyBorder="1" applyAlignment="1">
      <alignment horizontal="right"/>
    </xf>
    <xf numFmtId="0" fontId="59" fillId="22" borderId="1" xfId="0" applyFont="1" applyFill="1" applyBorder="1"/>
    <xf numFmtId="170" fontId="59" fillId="22" borderId="1" xfId="0" applyNumberFormat="1" applyFont="1" applyFill="1" applyBorder="1" applyAlignment="1">
      <alignment horizontal="right"/>
    </xf>
    <xf numFmtId="0" fontId="59" fillId="47" borderId="1" xfId="0" applyFont="1" applyFill="1" applyBorder="1" applyAlignment="1">
      <alignment horizontal="right"/>
    </xf>
    <xf numFmtId="0" fontId="59" fillId="0" borderId="1" xfId="0" applyFont="1" applyBorder="1"/>
    <xf numFmtId="0" fontId="53" fillId="37" borderId="8" xfId="0" applyFont="1" applyFill="1" applyBorder="1" applyAlignment="1">
      <alignment horizontal="center" vertical="center" wrapText="1"/>
    </xf>
    <xf numFmtId="49" fontId="53" fillId="37" borderId="8" xfId="0" applyNumberFormat="1" applyFont="1" applyFill="1" applyBorder="1" applyAlignment="1">
      <alignment horizontal="center" vertical="center" wrapText="1"/>
    </xf>
    <xf numFmtId="0" fontId="5" fillId="25" borderId="0" xfId="0" applyFont="1" applyFill="1" applyAlignment="1">
      <alignment horizontal="left" vertical="center"/>
    </xf>
    <xf numFmtId="0" fontId="6" fillId="38" borderId="0" xfId="0" applyFont="1" applyFill="1" applyAlignment="1">
      <alignment horizontal="left" vertical="center" wrapText="1"/>
    </xf>
    <xf numFmtId="0" fontId="0" fillId="25" borderId="0" xfId="0" applyFill="1"/>
    <xf numFmtId="0" fontId="82" fillId="3" borderId="1" xfId="2" applyFill="1" applyBorder="1" applyAlignment="1" applyProtection="1">
      <alignment horizontal="left" vertical="center"/>
      <protection locked="0"/>
    </xf>
    <xf numFmtId="0" fontId="82" fillId="3" borderId="10" xfId="2" applyFill="1" applyBorder="1" applyAlignment="1" applyProtection="1">
      <alignment horizontal="left" vertical="center"/>
      <protection locked="0"/>
    </xf>
    <xf numFmtId="0" fontId="49" fillId="24" borderId="18" xfId="0" applyFont="1" applyFill="1" applyBorder="1" applyAlignment="1" applyProtection="1">
      <alignment horizontal="left"/>
      <protection locked="0"/>
    </xf>
    <xf numFmtId="0" fontId="49" fillId="24" borderId="0" xfId="0" applyFont="1" applyFill="1" applyAlignment="1" applyProtection="1">
      <alignment horizontal="left"/>
      <protection locked="0"/>
    </xf>
    <xf numFmtId="0" fontId="19" fillId="2" borderId="0" xfId="0" applyFont="1" applyFill="1" applyAlignment="1" applyProtection="1">
      <alignment horizontal="left" vertical="center"/>
      <protection locked="0"/>
    </xf>
    <xf numFmtId="0" fontId="12" fillId="2" borderId="0" xfId="0" applyFont="1" applyFill="1" applyAlignment="1" applyProtection="1">
      <alignment horizontal="left" vertical="center" wrapText="1"/>
      <protection locked="0"/>
    </xf>
    <xf numFmtId="0" fontId="5" fillId="25" borderId="0" xfId="0" applyFont="1" applyFill="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41" fillId="25" borderId="0" xfId="0" applyFont="1" applyFill="1" applyAlignment="1" applyProtection="1">
      <alignment horizontal="left" vertical="center" wrapText="1"/>
      <protection locked="0"/>
    </xf>
    <xf numFmtId="0" fontId="5" fillId="2" borderId="0" xfId="0" applyFont="1" applyFill="1" applyAlignment="1" applyProtection="1">
      <alignment horizontal="left" vertical="center" wrapText="1"/>
      <protection locked="0"/>
    </xf>
    <xf numFmtId="0" fontId="6" fillId="5" borderId="0" xfId="0" applyFont="1" applyFill="1" applyAlignment="1" applyProtection="1">
      <alignment horizontal="left" vertical="center" wrapText="1"/>
      <protection locked="0"/>
    </xf>
    <xf numFmtId="0" fontId="57" fillId="38" borderId="0" xfId="0" applyFont="1" applyFill="1" applyAlignment="1" applyProtection="1">
      <alignment horizontal="left" vertical="center" wrapText="1"/>
      <protection locked="0"/>
    </xf>
    <xf numFmtId="0" fontId="4" fillId="4" borderId="0" xfId="0" applyFont="1" applyFill="1" applyAlignment="1" applyProtection="1">
      <alignment horizontal="left" vertical="center" wrapText="1"/>
      <protection locked="0"/>
    </xf>
    <xf numFmtId="0" fontId="5" fillId="25" borderId="0" xfId="0" applyFont="1" applyFill="1" applyAlignment="1">
      <alignment horizontal="left" vertical="center"/>
    </xf>
    <xf numFmtId="0" fontId="6" fillId="38" borderId="0" xfId="0" applyFont="1" applyFill="1" applyAlignment="1">
      <alignment horizontal="left" vertical="center" wrapText="1"/>
    </xf>
    <xf numFmtId="0" fontId="6" fillId="38" borderId="0" xfId="0" applyFont="1" applyFill="1" applyAlignment="1" applyProtection="1">
      <alignment horizontal="left" vertical="center" wrapText="1"/>
      <protection locked="0"/>
    </xf>
    <xf numFmtId="0" fontId="1" fillId="2" borderId="0" xfId="0" applyFont="1" applyFill="1" applyAlignment="1" applyProtection="1">
      <alignment horizontal="left" vertical="center" wrapText="1"/>
      <protection locked="0"/>
    </xf>
    <xf numFmtId="0" fontId="3" fillId="3" borderId="0" xfId="0" applyFont="1" applyFill="1" applyAlignment="1" applyProtection="1">
      <alignment horizontal="left" vertical="center" wrapText="1"/>
      <protection locked="0"/>
    </xf>
    <xf numFmtId="0" fontId="13" fillId="2" borderId="0" xfId="0" applyFont="1" applyFill="1" applyAlignment="1" applyProtection="1">
      <alignment horizontal="left" vertical="center"/>
      <protection locked="0"/>
    </xf>
    <xf numFmtId="0" fontId="12" fillId="2" borderId="0" xfId="0" applyFont="1" applyFill="1" applyAlignment="1" applyProtection="1">
      <alignment horizontal="left" vertical="center"/>
      <protection locked="0"/>
    </xf>
    <xf numFmtId="0" fontId="19" fillId="6" borderId="0" xfId="0" applyFont="1" applyFill="1" applyAlignment="1" applyProtection="1">
      <alignment horizontal="left" vertical="center"/>
      <protection locked="0"/>
    </xf>
    <xf numFmtId="0" fontId="27" fillId="6" borderId="0" xfId="0" applyFont="1" applyFill="1" applyAlignment="1" applyProtection="1">
      <alignment horizontal="left" vertical="center"/>
      <protection locked="0"/>
    </xf>
    <xf numFmtId="0" fontId="27" fillId="2" borderId="0" xfId="0" applyFont="1" applyFill="1" applyAlignment="1">
      <alignment horizontal="left" vertical="center"/>
    </xf>
    <xf numFmtId="0" fontId="27" fillId="2" borderId="0" xfId="0" applyFont="1" applyFill="1" applyAlignment="1" applyProtection="1">
      <alignment horizontal="left" vertical="center"/>
      <protection locked="0"/>
    </xf>
    <xf numFmtId="0" fontId="74" fillId="25" borderId="0" xfId="0" applyFont="1" applyFill="1" applyAlignment="1">
      <alignment vertical="center"/>
    </xf>
    <xf numFmtId="0" fontId="73" fillId="0" borderId="0" xfId="0" applyFont="1" applyAlignment="1">
      <alignment horizontal="left" vertical="center"/>
    </xf>
    <xf numFmtId="0" fontId="75" fillId="0" borderId="1" xfId="0" applyFont="1" applyBorder="1" applyAlignment="1">
      <alignment horizontal="left" vertical="center"/>
    </xf>
    <xf numFmtId="0" fontId="72" fillId="25" borderId="0" xfId="0" applyFont="1" applyFill="1" applyAlignment="1">
      <alignment vertical="center"/>
    </xf>
    <xf numFmtId="0" fontId="64" fillId="43" borderId="14" xfId="0" applyFont="1" applyFill="1" applyBorder="1" applyAlignment="1" applyProtection="1">
      <alignment horizontal="center" vertical="center" wrapText="1"/>
      <protection locked="0"/>
    </xf>
    <xf numFmtId="0" fontId="64" fillId="43" borderId="20" xfId="0" applyFont="1" applyFill="1" applyBorder="1" applyAlignment="1" applyProtection="1">
      <alignment horizontal="center" vertical="center" wrapText="1"/>
      <protection locked="0"/>
    </xf>
    <xf numFmtId="0" fontId="15" fillId="5" borderId="15" xfId="0" applyFont="1" applyFill="1" applyBorder="1" applyAlignment="1" applyProtection="1">
      <alignment horizontal="center" vertical="center"/>
      <protection locked="0"/>
    </xf>
    <xf numFmtId="0" fontId="15" fillId="5" borderId="21" xfId="0" applyFont="1" applyFill="1" applyBorder="1" applyAlignment="1" applyProtection="1">
      <alignment horizontal="center" vertical="center"/>
      <protection locked="0"/>
    </xf>
    <xf numFmtId="0" fontId="15" fillId="7" borderId="9" xfId="0" applyFont="1" applyFill="1" applyBorder="1" applyAlignment="1" applyProtection="1">
      <alignment horizontal="center" vertical="center"/>
      <protection locked="0"/>
    </xf>
    <xf numFmtId="0" fontId="15" fillId="7" borderId="4" xfId="0" applyFont="1" applyFill="1" applyBorder="1" applyAlignment="1" applyProtection="1">
      <alignment horizontal="center" vertical="center"/>
      <protection locked="0"/>
    </xf>
    <xf numFmtId="0" fontId="15" fillId="5" borderId="9" xfId="0" applyFont="1" applyFill="1" applyBorder="1" applyAlignment="1" applyProtection="1">
      <alignment horizontal="center" vertical="center"/>
      <protection locked="0"/>
    </xf>
    <xf numFmtId="0" fontId="15" fillId="5" borderId="4" xfId="0" applyFont="1" applyFill="1" applyBorder="1" applyAlignment="1" applyProtection="1">
      <alignment horizontal="center" vertical="center"/>
      <protection locked="0"/>
    </xf>
    <xf numFmtId="0" fontId="7" fillId="43" borderId="11" xfId="0" applyNumberFormat="1" applyFont="1" applyFill="1" applyBorder="1" applyAlignment="1" applyProtection="1">
      <alignment horizontal="center" vertical="center" wrapText="1"/>
      <protection locked="0"/>
    </xf>
    <xf numFmtId="0" fontId="15" fillId="38" borderId="1" xfId="0" applyNumberFormat="1" applyFont="1" applyFill="1" applyBorder="1" applyAlignment="1" applyProtection="1">
      <alignment horizontal="center" vertical="center" wrapText="1"/>
      <protection locked="0"/>
    </xf>
    <xf numFmtId="0" fontId="15" fillId="50" borderId="1" xfId="0" applyNumberFormat="1" applyFont="1" applyFill="1" applyBorder="1" applyAlignment="1" applyProtection="1">
      <alignment horizontal="center" vertical="center" wrapText="1"/>
      <protection locked="0"/>
    </xf>
    <xf numFmtId="0" fontId="15" fillId="38" borderId="10" xfId="0" applyNumberFormat="1" applyFont="1" applyFill="1" applyBorder="1" applyAlignment="1" applyProtection="1">
      <alignment horizontal="center" vertical="center" wrapText="1"/>
      <protection locked="0"/>
    </xf>
    <xf numFmtId="169" fontId="37" fillId="43" borderId="11" xfId="0" applyNumberFormat="1" applyFont="1" applyFill="1" applyBorder="1" applyAlignment="1" applyProtection="1">
      <alignment horizontal="right" vertical="center" wrapText="1"/>
      <protection locked="0"/>
    </xf>
    <xf numFmtId="171" fontId="37" fillId="43" borderId="11" xfId="0" applyNumberFormat="1" applyFont="1" applyFill="1" applyBorder="1" applyAlignment="1" applyProtection="1">
      <alignment horizontal="right" vertical="center" wrapText="1"/>
      <protection locked="0"/>
    </xf>
    <xf numFmtId="170" fontId="37" fillId="43" borderId="11" xfId="0" applyNumberFormat="1" applyFont="1" applyFill="1" applyBorder="1" applyAlignment="1" applyProtection="1">
      <alignment horizontal="right" vertical="center" wrapText="1"/>
      <protection locked="0"/>
    </xf>
    <xf numFmtId="171" fontId="37" fillId="43" borderId="14" xfId="0" applyNumberFormat="1" applyFont="1" applyFill="1" applyBorder="1" applyAlignment="1" applyProtection="1">
      <alignment horizontal="right" vertical="center" wrapText="1"/>
      <protection locked="0"/>
    </xf>
    <xf numFmtId="169" fontId="51" fillId="31" borderId="10" xfId="0" applyNumberFormat="1" applyFont="1" applyFill="1" applyBorder="1" applyAlignment="1" applyProtection="1">
      <alignment horizontal="right" vertical="center"/>
      <protection locked="0"/>
    </xf>
    <xf numFmtId="166" fontId="23" fillId="8" borderId="10" xfId="0" applyNumberFormat="1" applyFont="1" applyFill="1" applyBorder="1" applyAlignment="1" applyProtection="1">
      <alignment horizontal="right" vertical="center"/>
      <protection locked="0"/>
    </xf>
    <xf numFmtId="167" fontId="23" fillId="8" borderId="10" xfId="0" applyNumberFormat="1" applyFont="1" applyFill="1" applyBorder="1" applyAlignment="1" applyProtection="1">
      <alignment horizontal="right" vertical="center"/>
      <protection locked="0"/>
    </xf>
    <xf numFmtId="166" fontId="36" fillId="14" borderId="10" xfId="0" applyNumberFormat="1" applyFont="1" applyFill="1" applyBorder="1" applyAlignment="1" applyProtection="1">
      <alignment horizontal="center" vertical="center" wrapText="1"/>
      <protection locked="0"/>
    </xf>
    <xf numFmtId="166" fontId="40" fillId="22" borderId="10" xfId="1" applyNumberFormat="1" applyFont="1" applyFill="1" applyBorder="1" applyAlignment="1" applyProtection="1">
      <alignment horizontal="right" vertical="center" wrapText="1"/>
      <protection locked="0"/>
    </xf>
    <xf numFmtId="169" fontId="51" fillId="31" borderId="1" xfId="0" applyNumberFormat="1" applyFont="1" applyFill="1" applyBorder="1" applyAlignment="1" applyProtection="1">
      <alignment horizontal="right" vertical="center"/>
      <protection locked="0"/>
    </xf>
    <xf numFmtId="166" fontId="23" fillId="8" borderId="1" xfId="0" applyNumberFormat="1" applyFont="1" applyFill="1" applyBorder="1" applyAlignment="1" applyProtection="1">
      <alignment horizontal="right" vertical="center"/>
      <protection locked="0"/>
    </xf>
    <xf numFmtId="167" fontId="23" fillId="8" borderId="1" xfId="0" applyNumberFormat="1" applyFont="1" applyFill="1" applyBorder="1" applyAlignment="1" applyProtection="1">
      <alignment horizontal="right" vertical="center"/>
      <protection locked="0"/>
    </xf>
    <xf numFmtId="166" fontId="36" fillId="14" borderId="1" xfId="0" applyNumberFormat="1" applyFont="1" applyFill="1" applyBorder="1" applyAlignment="1" applyProtection="1">
      <alignment horizontal="center" vertical="center" wrapText="1"/>
      <protection locked="0"/>
    </xf>
    <xf numFmtId="166" fontId="40" fillId="22" borderId="1" xfId="1" applyNumberFormat="1" applyFont="1" applyFill="1" applyBorder="1" applyAlignment="1" applyProtection="1">
      <alignment horizontal="right" vertical="center" wrapText="1"/>
      <protection locked="0"/>
    </xf>
    <xf numFmtId="169" fontId="51" fillId="27" borderId="1" xfId="0" applyNumberFormat="1" applyFont="1" applyFill="1" applyBorder="1" applyAlignment="1" applyProtection="1">
      <alignment horizontal="right" vertical="center"/>
      <protection locked="0"/>
    </xf>
    <xf numFmtId="166" fontId="16" fillId="11" borderId="2" xfId="0" applyNumberFormat="1" applyFont="1" applyFill="1" applyBorder="1" applyAlignment="1" applyProtection="1">
      <alignment horizontal="right" vertical="center"/>
      <protection locked="0"/>
    </xf>
    <xf numFmtId="167" fontId="23" fillId="28" borderId="1" xfId="0" applyNumberFormat="1" applyFont="1" applyFill="1" applyBorder="1" applyAlignment="1" applyProtection="1">
      <alignment horizontal="right" vertical="center"/>
      <protection locked="0"/>
    </xf>
    <xf numFmtId="166" fontId="36" fillId="29" borderId="1" xfId="0" applyNumberFormat="1" applyFont="1" applyFill="1" applyBorder="1" applyAlignment="1" applyProtection="1">
      <alignment horizontal="center" vertical="center" wrapText="1"/>
      <protection locked="0"/>
    </xf>
    <xf numFmtId="166" fontId="40" fillId="27" borderId="1" xfId="1" applyNumberFormat="1" applyFont="1" applyFill="1" applyBorder="1" applyAlignment="1" applyProtection="1">
      <alignment horizontal="right" vertical="center" wrapText="1"/>
      <protection locked="0"/>
    </xf>
    <xf numFmtId="1" fontId="37" fillId="31" borderId="0" xfId="0" applyNumberFormat="1" applyFont="1" applyFill="1" applyAlignment="1" applyProtection="1">
      <alignment horizontal="center" vertical="center"/>
      <protection locked="0"/>
    </xf>
    <xf numFmtId="2" fontId="37" fillId="31" borderId="0" xfId="0" applyNumberFormat="1" applyFont="1" applyFill="1" applyAlignment="1" applyProtection="1">
      <alignment horizontal="center" vertical="center"/>
      <protection locked="0"/>
    </xf>
    <xf numFmtId="169" fontId="37" fillId="33" borderId="0" xfId="0" applyNumberFormat="1" applyFont="1" applyFill="1" applyAlignment="1" applyProtection="1">
      <alignment horizontal="right" vertical="center"/>
      <protection locked="0"/>
    </xf>
    <xf numFmtId="166" fontId="9" fillId="8" borderId="1" xfId="0" applyNumberFormat="1" applyFont="1" applyFill="1" applyBorder="1" applyAlignment="1" applyProtection="1">
      <alignment horizontal="right" vertical="center"/>
      <protection locked="0"/>
    </xf>
    <xf numFmtId="164" fontId="9" fillId="8" borderId="1" xfId="0" applyNumberFormat="1" applyFont="1" applyFill="1" applyBorder="1" applyAlignment="1" applyProtection="1">
      <alignment horizontal="right" vertical="center"/>
      <protection locked="0"/>
    </xf>
    <xf numFmtId="167" fontId="9" fillId="8" borderId="1" xfId="0" applyNumberFormat="1" applyFont="1" applyFill="1" applyBorder="1" applyAlignment="1" applyProtection="1">
      <alignment horizontal="right" vertical="center"/>
      <protection locked="0"/>
    </xf>
    <xf numFmtId="166" fontId="37" fillId="8" borderId="0" xfId="0" applyNumberFormat="1" applyFont="1" applyFill="1" applyAlignment="1" applyProtection="1">
      <alignment horizontal="right" vertical="center"/>
      <protection locked="0"/>
    </xf>
    <xf numFmtId="166" fontId="42" fillId="22" borderId="0" xfId="0" applyNumberFormat="1" applyFont="1" applyFill="1" applyAlignment="1" applyProtection="1">
      <alignment horizontal="right" vertical="center"/>
      <protection locked="0"/>
    </xf>
    <xf numFmtId="0" fontId="50" fillId="24" borderId="0" xfId="0" applyFont="1" applyFill="1" applyAlignment="1" applyProtection="1">
      <alignment horizontal="left"/>
      <protection locked="0"/>
    </xf>
    <xf numFmtId="0" fontId="16" fillId="11" borderId="0" xfId="0" applyFont="1" applyFill="1" applyAlignment="1" applyProtection="1">
      <alignment horizontal="center" vertical="center"/>
    </xf>
    <xf numFmtId="0" fontId="69" fillId="3" borderId="1" xfId="0" applyFont="1" applyFill="1" applyBorder="1" applyAlignment="1" applyProtection="1">
      <alignment horizontal="left" vertical="center"/>
      <protection locked="0"/>
    </xf>
    <xf numFmtId="0" fontId="83" fillId="3" borderId="1" xfId="0" applyFont="1" applyFill="1" applyBorder="1" applyAlignment="1" applyProtection="1">
      <alignment horizontal="left" vertical="center"/>
      <protection locked="0"/>
    </xf>
    <xf numFmtId="0" fontId="69" fillId="3" borderId="5" xfId="0" applyFont="1" applyFill="1" applyBorder="1" applyAlignment="1" applyProtection="1">
      <alignment horizontal="left" vertical="center"/>
      <protection locked="0"/>
    </xf>
  </cellXfs>
  <cellStyles count="3">
    <cellStyle name="Bueno" xfId="1" builtinId="26"/>
    <cellStyle name="Hipervínculo"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F6E56"/>
      <rgbColor rgb="FFCCCCCC"/>
      <rgbColor rgb="FF888888"/>
      <rgbColor rgb="FF9999FF"/>
      <rgbColor rgb="FF534AB7"/>
      <rgbColor rgb="FFFFF8DC"/>
      <rgbColor rgb="FFE1F5EE"/>
      <rgbColor rgb="FF660066"/>
      <rgbColor rgb="FFFF8080"/>
      <rgbColor rgb="FF0070C0"/>
      <rgbColor rgb="FFE8E8E8"/>
      <rgbColor rgb="FF000080"/>
      <rgbColor rgb="FFFF00FF"/>
      <rgbColor rgb="FFF2F6FA"/>
      <rgbColor rgb="FF00FFFF"/>
      <rgbColor rgb="FF800080"/>
      <rgbColor rgb="FF800000"/>
      <rgbColor rgb="FF2E7D32"/>
      <rgbColor rgb="FF0000FF"/>
      <rgbColor rgb="FF00CCFF"/>
      <rgbColor rgb="FFE8EEF8"/>
      <rgbColor rgb="FFC8E6C9"/>
      <rgbColor rgb="FFFAEEDA"/>
      <rgbColor rgb="FFA5D6A7"/>
      <rgbColor rgb="FFF5F5F5"/>
      <rgbColor rgb="FFEEEDFE"/>
      <rgbColor rgb="FFFAEBEA"/>
      <rgbColor rgb="FF378ADD"/>
      <rgbColor rgb="FF33CCCC"/>
      <rgbColor rgb="FF99CC00"/>
      <rgbColor rgb="FFFFCC00"/>
      <rgbColor rgb="FFD4A017"/>
      <rgbColor rgb="FFFF6600"/>
      <rgbColor rgb="FF595959"/>
      <rgbColor rgb="FFAAAAAA"/>
      <rgbColor rgb="FF1B3A6B"/>
      <rgbColor rgb="FF1E8449"/>
      <rgbColor rgb="FF194167"/>
      <rgbColor rgb="FF444444"/>
      <rgbColor rgb="FFC0392B"/>
      <rgbColor rgb="FF2E5FA3"/>
      <rgbColor rgb="FF1A237E"/>
      <rgbColor rgb="FF333333"/>
      <rgbColor rgb="00003366"/>
      <rgbColor rgb="00339966"/>
      <rgbColor rgb="00003300"/>
      <rgbColor rgb="00333300"/>
      <rgbColor rgb="00993300"/>
      <rgbColor rgb="00993366"/>
      <rgbColor rgb="00333399"/>
      <rgbColor rgb="00333333"/>
    </indexedColors>
    <mruColors>
      <color rgb="FFFFF9DC"/>
      <color rgb="FFBA7517"/>
      <color rgb="FFE8EEF9"/>
      <color rgb="FFE2F6EE"/>
      <color rgb="FFFFD5A7"/>
      <color rgb="FF1B3A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2006600</xdr:colOff>
      <xdr:row>2</xdr:row>
      <xdr:rowOff>138996</xdr:rowOff>
    </xdr:to>
    <xdr:pic>
      <xdr:nvPicPr>
        <xdr:cNvPr id="2" name="image1.png"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90500" y="0"/>
          <a:ext cx="2006600" cy="519996"/>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101600</xdr:rowOff>
    </xdr:from>
    <xdr:to>
      <xdr:col>1</xdr:col>
      <xdr:colOff>1999800</xdr:colOff>
      <xdr:row>0</xdr:row>
      <xdr:rowOff>615680</xdr:rowOff>
    </xdr:to>
    <xdr:pic>
      <xdr:nvPicPr>
        <xdr:cNvPr id="2" name="image1.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190500" y="101600"/>
          <a:ext cx="1999800" cy="51408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626122F-A132-0B4C-B9A5-B31ECD871E06}">
  <we:reference id="wa200009404" version="1.0.0.8" store="en-US" storeType="OMEX"/>
  <we:alternateReferences>
    <we:reference id="wa200009404" version="1.0.0.8" store="en-US" storeType="OMEX"/>
  </we:alternateReferences>
  <we:properties>
    <we:property name="claude.fileId" value="&quot;ad6acd3b-ee32-4828-a5be-a12768d7334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6B"/>
  </sheetPr>
  <dimension ref="A1:D1003"/>
  <sheetViews>
    <sheetView showGridLines="0" zoomScaleNormal="100" workbookViewId="0">
      <selection activeCell="H29" sqref="H29"/>
    </sheetView>
  </sheetViews>
  <sheetFormatPr baseColWidth="10" defaultColWidth="14.5" defaultRowHeight="15" x14ac:dyDescent="0.2"/>
  <cols>
    <col min="1" max="1" width="2.5" customWidth="1"/>
    <col min="2" max="2" width="33.33203125" customWidth="1"/>
    <col min="3" max="3" width="53.33203125" customWidth="1"/>
    <col min="4" max="4" width="30" customWidth="1"/>
    <col min="5" max="6" width="8.83203125" customWidth="1"/>
  </cols>
  <sheetData>
    <row r="1" spans="1:4" x14ac:dyDescent="0.2">
      <c r="B1" s="8"/>
      <c r="C1" s="8"/>
      <c r="D1" s="8"/>
    </row>
    <row r="2" spans="1:4" x14ac:dyDescent="0.2">
      <c r="B2" s="8"/>
      <c r="C2" s="8"/>
      <c r="D2" s="8"/>
    </row>
    <row r="3" spans="1:4" x14ac:dyDescent="0.2">
      <c r="B3" s="8"/>
      <c r="C3" s="8"/>
      <c r="D3" s="8"/>
    </row>
    <row r="4" spans="1:4" x14ac:dyDescent="0.2">
      <c r="A4" s="1"/>
      <c r="B4" s="10"/>
      <c r="C4" s="10"/>
      <c r="D4" s="10"/>
    </row>
    <row r="5" spans="1:4" ht="20" x14ac:dyDescent="0.2">
      <c r="A5" s="1"/>
      <c r="B5" s="270" t="s">
        <v>0</v>
      </c>
      <c r="C5" s="270"/>
      <c r="D5" s="270"/>
    </row>
    <row r="6" spans="1:4" x14ac:dyDescent="0.2">
      <c r="A6" s="1"/>
      <c r="B6" s="11"/>
      <c r="C6" s="11"/>
      <c r="D6" s="11"/>
    </row>
    <row r="7" spans="1:4" ht="28" customHeight="1" x14ac:dyDescent="0.2">
      <c r="B7" s="261" t="s">
        <v>1</v>
      </c>
      <c r="C7" s="261"/>
      <c r="D7" s="12"/>
    </row>
    <row r="8" spans="1:4" x14ac:dyDescent="0.2">
      <c r="B8" s="12"/>
      <c r="C8" s="12"/>
      <c r="D8" s="12"/>
    </row>
    <row r="9" spans="1:4" x14ac:dyDescent="0.2">
      <c r="B9" s="12"/>
      <c r="C9" s="12"/>
      <c r="D9" s="12"/>
    </row>
    <row r="10" spans="1:4" ht="48" customHeight="1" x14ac:dyDescent="0.2">
      <c r="A10" s="2"/>
      <c r="B10" s="271" t="s">
        <v>141</v>
      </c>
      <c r="C10" s="271"/>
      <c r="D10" s="271"/>
    </row>
    <row r="11" spans="1:4" x14ac:dyDescent="0.2">
      <c r="B11" s="12"/>
      <c r="C11" s="12"/>
      <c r="D11" s="12"/>
    </row>
    <row r="12" spans="1:4" ht="16" x14ac:dyDescent="0.2">
      <c r="A12" s="3"/>
      <c r="B12" s="266" t="s">
        <v>2</v>
      </c>
      <c r="C12" s="266"/>
      <c r="D12" s="266"/>
    </row>
    <row r="13" spans="1:4" x14ac:dyDescent="0.2">
      <c r="B13" s="12"/>
      <c r="C13" s="12"/>
      <c r="D13" s="12"/>
    </row>
    <row r="14" spans="1:4" ht="28" customHeight="1" x14ac:dyDescent="0.2">
      <c r="A14" s="1"/>
      <c r="B14" s="263" t="s">
        <v>127</v>
      </c>
      <c r="C14" s="263"/>
      <c r="D14" s="11"/>
    </row>
    <row r="15" spans="1:4" ht="53" customHeight="1" x14ac:dyDescent="0.2">
      <c r="A15" s="4"/>
      <c r="B15" s="264" t="s">
        <v>254</v>
      </c>
      <c r="C15" s="264"/>
      <c r="D15" s="264"/>
    </row>
    <row r="16" spans="1:4" x14ac:dyDescent="0.2">
      <c r="B16" s="12"/>
      <c r="C16" s="12"/>
      <c r="D16" s="12"/>
    </row>
    <row r="17" spans="1:4" ht="28" customHeight="1" x14ac:dyDescent="0.2">
      <c r="A17" s="1"/>
      <c r="B17" s="263" t="s">
        <v>128</v>
      </c>
      <c r="C17" s="263"/>
      <c r="D17" s="11"/>
    </row>
    <row r="18" spans="1:4" ht="56" customHeight="1" x14ac:dyDescent="0.2">
      <c r="A18" s="4"/>
      <c r="B18" s="264" t="s">
        <v>255</v>
      </c>
      <c r="C18" s="264"/>
      <c r="D18" s="264"/>
    </row>
    <row r="19" spans="1:4" x14ac:dyDescent="0.2">
      <c r="B19" s="12"/>
      <c r="C19" s="12"/>
      <c r="D19" s="12"/>
    </row>
    <row r="20" spans="1:4" ht="28" customHeight="1" x14ac:dyDescent="0.2">
      <c r="A20" s="1"/>
      <c r="B20" s="263" t="s">
        <v>129</v>
      </c>
      <c r="C20" s="263"/>
      <c r="D20" s="11"/>
    </row>
    <row r="21" spans="1:4" ht="42" customHeight="1" x14ac:dyDescent="0.2">
      <c r="A21" s="4"/>
      <c r="B21" s="264" t="s">
        <v>130</v>
      </c>
      <c r="C21" s="264"/>
      <c r="D21" s="264"/>
    </row>
    <row r="22" spans="1:4" x14ac:dyDescent="0.2">
      <c r="B22" s="12"/>
      <c r="C22" s="12"/>
      <c r="D22" s="12"/>
    </row>
    <row r="23" spans="1:4" ht="28" customHeight="1" x14ac:dyDescent="0.2">
      <c r="A23" s="1"/>
      <c r="B23" s="263" t="s">
        <v>256</v>
      </c>
      <c r="C23" s="263"/>
      <c r="D23" s="11"/>
    </row>
    <row r="24" spans="1:4" ht="47" customHeight="1" x14ac:dyDescent="0.2">
      <c r="A24" s="4"/>
      <c r="B24" s="264" t="s">
        <v>257</v>
      </c>
      <c r="C24" s="264"/>
      <c r="D24" s="264"/>
    </row>
    <row r="25" spans="1:4" x14ac:dyDescent="0.2">
      <c r="B25" s="12"/>
      <c r="C25" s="12"/>
      <c r="D25" s="12"/>
    </row>
    <row r="26" spans="1:4" ht="28" customHeight="1" x14ac:dyDescent="0.2">
      <c r="A26" s="1"/>
      <c r="B26" s="262" t="s">
        <v>131</v>
      </c>
      <c r="C26" s="262"/>
      <c r="D26" s="13"/>
    </row>
    <row r="27" spans="1:4" ht="49" customHeight="1" x14ac:dyDescent="0.2">
      <c r="A27" s="4"/>
      <c r="B27" s="265" t="s">
        <v>258</v>
      </c>
      <c r="C27" s="265"/>
      <c r="D27" s="265"/>
    </row>
    <row r="28" spans="1:4" ht="29" customHeight="1" x14ac:dyDescent="0.2">
      <c r="A28" s="251"/>
      <c r="B28" s="267" t="s">
        <v>259</v>
      </c>
      <c r="C28" s="267"/>
      <c r="D28" s="267"/>
    </row>
    <row r="29" spans="1:4" ht="55" customHeight="1" x14ac:dyDescent="0.2">
      <c r="A29" s="252"/>
      <c r="B29" s="268" t="s">
        <v>260</v>
      </c>
      <c r="C29" s="268"/>
      <c r="D29" s="268"/>
    </row>
    <row r="30" spans="1:4" ht="37" customHeight="1" x14ac:dyDescent="0.2">
      <c r="A30" s="253"/>
      <c r="B30" s="260" t="s">
        <v>132</v>
      </c>
      <c r="C30" s="260"/>
      <c r="D30" s="260"/>
    </row>
    <row r="31" spans="1:4" ht="75" customHeight="1" x14ac:dyDescent="0.2">
      <c r="B31" s="269" t="s">
        <v>261</v>
      </c>
      <c r="C31" s="269"/>
      <c r="D31" s="269"/>
    </row>
    <row r="32" spans="1:4" ht="28" x14ac:dyDescent="0.2">
      <c r="A32" s="5"/>
      <c r="B32" s="14" t="s">
        <v>133</v>
      </c>
      <c r="C32" s="15"/>
      <c r="D32" s="15"/>
    </row>
    <row r="33" spans="1:4" ht="47" customHeight="1" x14ac:dyDescent="0.2">
      <c r="A33" s="4"/>
      <c r="B33" s="265" t="s">
        <v>134</v>
      </c>
      <c r="C33" s="264"/>
      <c r="D33" s="264"/>
    </row>
    <row r="34" spans="1:4" x14ac:dyDescent="0.2">
      <c r="B34" s="12"/>
      <c r="C34" s="12"/>
      <c r="D34" s="12"/>
    </row>
    <row r="35" spans="1:4" ht="16" x14ac:dyDescent="0.2">
      <c r="A35" s="3"/>
      <c r="B35" s="266" t="s">
        <v>3</v>
      </c>
      <c r="C35" s="266"/>
      <c r="D35" s="266"/>
    </row>
    <row r="36" spans="1:4" ht="28" x14ac:dyDescent="0.2">
      <c r="B36" s="16" t="s">
        <v>4</v>
      </c>
      <c r="C36" s="17" t="s">
        <v>140</v>
      </c>
      <c r="D36" s="12"/>
    </row>
    <row r="37" spans="1:4" x14ac:dyDescent="0.2">
      <c r="B37" s="18" t="s">
        <v>5</v>
      </c>
      <c r="C37" s="17" t="s">
        <v>135</v>
      </c>
      <c r="D37" s="12"/>
    </row>
    <row r="38" spans="1:4" ht="28" x14ac:dyDescent="0.2">
      <c r="B38" s="19" t="s">
        <v>6</v>
      </c>
      <c r="C38" s="17" t="s">
        <v>136</v>
      </c>
      <c r="D38" s="12"/>
    </row>
    <row r="39" spans="1:4" x14ac:dyDescent="0.2">
      <c r="B39" s="20" t="s">
        <v>7</v>
      </c>
      <c r="C39" s="17" t="s">
        <v>137</v>
      </c>
      <c r="D39" s="12"/>
    </row>
    <row r="40" spans="1:4" x14ac:dyDescent="0.2">
      <c r="B40" s="19" t="s">
        <v>8</v>
      </c>
      <c r="C40" s="17" t="s">
        <v>138</v>
      </c>
      <c r="D40" s="12"/>
    </row>
    <row r="41" spans="1:4" x14ac:dyDescent="0.2">
      <c r="B41" s="21" t="s">
        <v>9</v>
      </c>
      <c r="C41" s="17" t="s">
        <v>139</v>
      </c>
      <c r="D41" s="12"/>
    </row>
    <row r="42" spans="1:4" x14ac:dyDescent="0.2">
      <c r="B42" s="12"/>
      <c r="C42" s="12"/>
      <c r="D42" s="12"/>
    </row>
    <row r="43" spans="1:4" x14ac:dyDescent="0.2">
      <c r="A43" s="1"/>
      <c r="B43" s="259" t="s">
        <v>10</v>
      </c>
      <c r="C43" s="259"/>
      <c r="D43" s="259"/>
    </row>
    <row r="44" spans="1:4" x14ac:dyDescent="0.2">
      <c r="B44" s="8"/>
      <c r="C44" s="8"/>
      <c r="D44" s="8"/>
    </row>
    <row r="45" spans="1:4" x14ac:dyDescent="0.2">
      <c r="B45" s="8"/>
      <c r="C45" s="8"/>
      <c r="D45" s="8"/>
    </row>
    <row r="46" spans="1:4" x14ac:dyDescent="0.2">
      <c r="B46" s="8"/>
      <c r="C46" s="8"/>
      <c r="D46" s="8"/>
    </row>
    <row r="47" spans="1:4" x14ac:dyDescent="0.2">
      <c r="B47" s="8"/>
      <c r="C47" s="8"/>
      <c r="D47" s="8"/>
    </row>
    <row r="48" spans="1:4" x14ac:dyDescent="0.2">
      <c r="B48" s="8"/>
      <c r="C48" s="8"/>
      <c r="D48" s="8"/>
    </row>
    <row r="49" spans="2:4" x14ac:dyDescent="0.2">
      <c r="B49" s="8"/>
      <c r="C49" s="8"/>
      <c r="D49" s="8"/>
    </row>
    <row r="50" spans="2:4" x14ac:dyDescent="0.2">
      <c r="B50" s="8"/>
      <c r="C50" s="8"/>
      <c r="D50" s="8"/>
    </row>
    <row r="51" spans="2:4" ht="15.75" customHeight="1" x14ac:dyDescent="0.2">
      <c r="B51" s="8"/>
      <c r="C51" s="8"/>
      <c r="D51" s="8"/>
    </row>
    <row r="52" spans="2:4" ht="15.75" customHeight="1" x14ac:dyDescent="0.2">
      <c r="B52" s="8"/>
      <c r="C52" s="8"/>
      <c r="D52" s="8"/>
    </row>
    <row r="53" spans="2:4" ht="15.75" customHeight="1" x14ac:dyDescent="0.2">
      <c r="B53" s="8"/>
      <c r="C53" s="8"/>
      <c r="D53" s="8"/>
    </row>
    <row r="54" spans="2:4" ht="15.75" customHeight="1" x14ac:dyDescent="0.2">
      <c r="B54" s="8"/>
      <c r="C54" s="8"/>
      <c r="D54" s="8"/>
    </row>
    <row r="55" spans="2:4" ht="15.75" customHeight="1" x14ac:dyDescent="0.2">
      <c r="B55" s="8"/>
      <c r="C55" s="8"/>
      <c r="D55" s="8"/>
    </row>
    <row r="56" spans="2:4" ht="15.75" customHeight="1" x14ac:dyDescent="0.2">
      <c r="B56" s="8"/>
      <c r="C56" s="8"/>
      <c r="D56" s="8"/>
    </row>
    <row r="57" spans="2:4" ht="15.75" customHeight="1" x14ac:dyDescent="0.2">
      <c r="B57" s="8"/>
      <c r="C57" s="8"/>
      <c r="D57" s="8"/>
    </row>
    <row r="58" spans="2:4" ht="15.75" customHeight="1" x14ac:dyDescent="0.2">
      <c r="B58" s="8"/>
      <c r="C58" s="8"/>
      <c r="D58" s="8"/>
    </row>
    <row r="59" spans="2:4" ht="15.75" customHeight="1" x14ac:dyDescent="0.2">
      <c r="B59" s="8"/>
      <c r="C59" s="8"/>
      <c r="D59" s="8"/>
    </row>
    <row r="60" spans="2:4" ht="15.75" customHeight="1" x14ac:dyDescent="0.2">
      <c r="B60" s="8"/>
      <c r="C60" s="8"/>
      <c r="D60" s="8"/>
    </row>
    <row r="61" spans="2:4" ht="15.75" customHeight="1" x14ac:dyDescent="0.2"/>
    <row r="62" spans="2:4" ht="15.75" customHeight="1" x14ac:dyDescent="0.2"/>
    <row r="63" spans="2:4" ht="15.75" customHeight="1" x14ac:dyDescent="0.2"/>
    <row r="64" spans="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sheetProtection sheet="1" objects="1" scenarios="1"/>
  <mergeCells count="21">
    <mergeCell ref="B5:D5"/>
    <mergeCell ref="B10:D10"/>
    <mergeCell ref="B12:D12"/>
    <mergeCell ref="B15:D15"/>
    <mergeCell ref="B18:D18"/>
    <mergeCell ref="B43:D43"/>
    <mergeCell ref="B30:D30"/>
    <mergeCell ref="B7:C7"/>
    <mergeCell ref="B26:C26"/>
    <mergeCell ref="B23:C23"/>
    <mergeCell ref="B20:C20"/>
    <mergeCell ref="B17:C17"/>
    <mergeCell ref="B14:C14"/>
    <mergeCell ref="B21:D21"/>
    <mergeCell ref="B24:D24"/>
    <mergeCell ref="B27:D27"/>
    <mergeCell ref="B33:D33"/>
    <mergeCell ref="B35:D35"/>
    <mergeCell ref="B28:D28"/>
    <mergeCell ref="B29:D29"/>
    <mergeCell ref="B31:D31"/>
  </mergeCells>
  <pageMargins left="0.75" right="0.75" top="1" bottom="1" header="0.511811023622047" footer="0.511811023622047"/>
  <pageSetup orientation="landscape"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FA3"/>
  </sheetPr>
  <dimension ref="A1:F1000"/>
  <sheetViews>
    <sheetView showGridLines="0" zoomScale="136" zoomScaleNormal="100" workbookViewId="0">
      <selection activeCell="C33" sqref="C33"/>
    </sheetView>
  </sheetViews>
  <sheetFormatPr baseColWidth="10" defaultColWidth="0" defaultRowHeight="15" x14ac:dyDescent="0.2"/>
  <cols>
    <col min="1" max="1" width="3" customWidth="1"/>
    <col min="2" max="2" width="34" customWidth="1"/>
    <col min="3" max="3" width="42" customWidth="1"/>
    <col min="4" max="4" width="53.1640625" customWidth="1"/>
    <col min="5" max="6" width="8.83203125" hidden="1" customWidth="1"/>
    <col min="7" max="16384" width="14.5" hidden="1"/>
  </cols>
  <sheetData>
    <row r="1" spans="1:4" ht="30" customHeight="1" thickBot="1" x14ac:dyDescent="0.25">
      <c r="A1" s="9"/>
      <c r="B1" s="272" t="s">
        <v>11</v>
      </c>
      <c r="C1" s="272"/>
      <c r="D1" s="272"/>
    </row>
    <row r="2" spans="1:4" ht="15.75" customHeight="1" thickTop="1" thickBot="1" x14ac:dyDescent="0.25">
      <c r="B2" s="190" t="s">
        <v>203</v>
      </c>
      <c r="C2" s="189" t="s">
        <v>200</v>
      </c>
      <c r="D2" s="191" t="s">
        <v>204</v>
      </c>
    </row>
    <row r="3" spans="1:4" ht="21.75" customHeight="1" thickTop="1" x14ac:dyDescent="0.2">
      <c r="A3" s="3"/>
      <c r="B3" s="24" t="s">
        <v>151</v>
      </c>
      <c r="C3" s="25"/>
      <c r="D3" s="25"/>
    </row>
    <row r="4" spans="1:4" ht="18" customHeight="1" x14ac:dyDescent="0.2">
      <c r="B4" s="26" t="s">
        <v>12</v>
      </c>
      <c r="C4" s="323" t="s">
        <v>266</v>
      </c>
      <c r="D4" s="23"/>
    </row>
    <row r="5" spans="1:4" ht="18" customHeight="1" x14ac:dyDescent="0.2">
      <c r="B5" s="26" t="s">
        <v>152</v>
      </c>
      <c r="C5" s="323" t="s">
        <v>267</v>
      </c>
      <c r="D5" s="23"/>
    </row>
    <row r="6" spans="1:4" ht="18" customHeight="1" x14ac:dyDescent="0.2">
      <c r="B6" s="26" t="s">
        <v>153</v>
      </c>
      <c r="C6" s="323" t="s">
        <v>268</v>
      </c>
      <c r="D6" s="28" t="s">
        <v>154</v>
      </c>
    </row>
    <row r="7" spans="1:4" ht="18" customHeight="1" x14ac:dyDescent="0.2">
      <c r="B7" s="26" t="s">
        <v>155</v>
      </c>
      <c r="C7" s="324" t="s">
        <v>269</v>
      </c>
      <c r="D7" s="28" t="s">
        <v>264</v>
      </c>
    </row>
    <row r="8" spans="1:4" ht="18" customHeight="1" x14ac:dyDescent="0.2">
      <c r="B8" s="26" t="s">
        <v>156</v>
      </c>
      <c r="C8" s="323" t="s">
        <v>270</v>
      </c>
      <c r="D8" s="22" t="s">
        <v>157</v>
      </c>
    </row>
    <row r="9" spans="1:4" ht="21.75" customHeight="1" x14ac:dyDescent="0.2">
      <c r="A9" s="3"/>
      <c r="B9" s="24" t="s">
        <v>158</v>
      </c>
      <c r="C9" s="25"/>
      <c r="D9" s="25"/>
    </row>
    <row r="10" spans="1:4" ht="18" customHeight="1" x14ac:dyDescent="0.2">
      <c r="B10" s="26" t="s">
        <v>159</v>
      </c>
      <c r="C10" s="27"/>
      <c r="D10" s="23"/>
    </row>
    <row r="11" spans="1:4" ht="18" customHeight="1" x14ac:dyDescent="0.2">
      <c r="B11" s="26" t="s">
        <v>19</v>
      </c>
      <c r="C11" s="29"/>
      <c r="D11" s="22" t="s">
        <v>160</v>
      </c>
    </row>
    <row r="12" spans="1:4" ht="18" customHeight="1" x14ac:dyDescent="0.2">
      <c r="B12" s="26" t="s">
        <v>20</v>
      </c>
      <c r="C12" s="27"/>
      <c r="D12" s="23"/>
    </row>
    <row r="13" spans="1:4" ht="18" customHeight="1" x14ac:dyDescent="0.2">
      <c r="B13" s="26" t="s">
        <v>161</v>
      </c>
      <c r="C13" s="27"/>
      <c r="D13" s="23"/>
    </row>
    <row r="14" spans="1:4" ht="18" customHeight="1" x14ac:dyDescent="0.2">
      <c r="B14" s="26" t="s">
        <v>162</v>
      </c>
      <c r="C14" s="27"/>
      <c r="D14" s="23"/>
    </row>
    <row r="15" spans="1:4" ht="18" customHeight="1" x14ac:dyDescent="0.2">
      <c r="B15" s="26" t="s">
        <v>163</v>
      </c>
      <c r="C15" s="27"/>
      <c r="D15" s="23"/>
    </row>
    <row r="16" spans="1:4" ht="21.75" customHeight="1" x14ac:dyDescent="0.2">
      <c r="A16" s="3"/>
      <c r="B16" s="24" t="s">
        <v>164</v>
      </c>
      <c r="C16" s="25"/>
      <c r="D16" s="25"/>
    </row>
    <row r="17" spans="1:4" ht="30" customHeight="1" x14ac:dyDescent="0.2">
      <c r="B17" s="26" t="s">
        <v>165</v>
      </c>
      <c r="C17" s="323" t="s">
        <v>271</v>
      </c>
      <c r="D17" s="28" t="s">
        <v>166</v>
      </c>
    </row>
    <row r="18" spans="1:4" ht="24" customHeight="1" x14ac:dyDescent="0.2">
      <c r="B18" s="26" t="s">
        <v>167</v>
      </c>
      <c r="C18" s="323" t="s">
        <v>272</v>
      </c>
      <c r="D18" s="28" t="s">
        <v>168</v>
      </c>
    </row>
    <row r="19" spans="1:4" ht="18" customHeight="1" x14ac:dyDescent="0.2">
      <c r="B19" s="26" t="s">
        <v>169</v>
      </c>
      <c r="C19" s="323" t="s">
        <v>273</v>
      </c>
      <c r="D19" s="23" t="s">
        <v>170</v>
      </c>
    </row>
    <row r="20" spans="1:4" ht="21.75" customHeight="1" x14ac:dyDescent="0.2">
      <c r="A20" s="1"/>
      <c r="B20" s="30" t="s">
        <v>171</v>
      </c>
      <c r="C20" s="31"/>
      <c r="D20" s="31"/>
    </row>
    <row r="21" spans="1:4" ht="18" customHeight="1" x14ac:dyDescent="0.2">
      <c r="B21" s="188" t="s">
        <v>201</v>
      </c>
      <c r="C21" s="29"/>
      <c r="D21" s="28" t="s">
        <v>172</v>
      </c>
    </row>
    <row r="22" spans="1:4" ht="18" customHeight="1" x14ac:dyDescent="0.2">
      <c r="B22" s="188" t="s">
        <v>202</v>
      </c>
      <c r="C22" s="29"/>
      <c r="D22" s="28" t="s">
        <v>173</v>
      </c>
    </row>
    <row r="23" spans="1:4" ht="18" customHeight="1" x14ac:dyDescent="0.2">
      <c r="B23" s="26" t="s">
        <v>262</v>
      </c>
      <c r="C23" s="27"/>
      <c r="D23" s="28" t="s">
        <v>263</v>
      </c>
    </row>
    <row r="24" spans="1:4" ht="18" customHeight="1" x14ac:dyDescent="0.2">
      <c r="B24" s="32" t="s">
        <v>174</v>
      </c>
      <c r="C24" s="33" t="s">
        <v>265</v>
      </c>
      <c r="D24" s="34" t="s">
        <v>175</v>
      </c>
    </row>
    <row r="25" spans="1:4" ht="21.75" customHeight="1" x14ac:dyDescent="0.2">
      <c r="B25" s="35" t="s">
        <v>176</v>
      </c>
      <c r="C25" s="40">
        <f>IF(C24="Host Only Fee  (15.5% anfitrión)",0.155,0.03)</f>
        <v>0.03</v>
      </c>
      <c r="D25" s="36" t="s">
        <v>177</v>
      </c>
    </row>
    <row r="26" spans="1:4" ht="18" customHeight="1" x14ac:dyDescent="0.2">
      <c r="A26" s="3"/>
      <c r="B26" s="24" t="s">
        <v>178</v>
      </c>
      <c r="C26" s="25"/>
      <c r="D26" s="25"/>
    </row>
    <row r="27" spans="1:4" ht="26" customHeight="1" x14ac:dyDescent="0.2">
      <c r="B27" s="26" t="s">
        <v>179</v>
      </c>
      <c r="C27" s="323" t="s">
        <v>274</v>
      </c>
      <c r="D27" s="23"/>
    </row>
    <row r="28" spans="1:4" ht="39.75" customHeight="1" x14ac:dyDescent="0.2">
      <c r="B28" s="26" t="s">
        <v>180</v>
      </c>
      <c r="C28" s="323" t="s">
        <v>181</v>
      </c>
      <c r="D28" s="185" t="s">
        <v>182</v>
      </c>
    </row>
    <row r="29" spans="1:4" ht="47" customHeight="1" thickBot="1" x14ac:dyDescent="0.25">
      <c r="B29" s="26" t="s">
        <v>14</v>
      </c>
      <c r="C29" s="325" t="s">
        <v>275</v>
      </c>
      <c r="D29" s="23"/>
    </row>
    <row r="30" spans="1:4" ht="32" customHeight="1" thickTop="1" thickBot="1" x14ac:dyDescent="0.25">
      <c r="B30" s="37" t="s">
        <v>183</v>
      </c>
      <c r="C30" s="186">
        <v>46184</v>
      </c>
      <c r="D30" s="38" t="s">
        <v>184</v>
      </c>
    </row>
    <row r="31" spans="1:4" ht="15.75" customHeight="1" thickTop="1" x14ac:dyDescent="0.2">
      <c r="A31" s="1"/>
      <c r="B31" s="273" t="s">
        <v>1</v>
      </c>
      <c r="C31" s="273"/>
      <c r="D31" s="273"/>
    </row>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heetProtection sheet="1" objects="1" scenarios="1" formatCells="0" formatColumns="0" formatRows="0" insertHyperlinks="0" sort="0" autoFilter="0"/>
  <mergeCells count="2">
    <mergeCell ref="B1:D1"/>
    <mergeCell ref="B31:D31"/>
  </mergeCells>
  <dataValidations count="8">
    <dataValidation type="list" allowBlank="1" sqref="C10" xr:uid="{00000000-0002-0000-0100-000000000000}">
      <formula1>"Casa,Departamento,Villa,Estudio,Hotel boutique,Cabaña,Otro"</formula1>
      <formula2>0</formula2>
    </dataValidation>
    <dataValidation type="list" allowBlank="1" sqref="C26" xr:uid="{00000000-0002-0000-0100-000001000000}">
      <formula1>"Propiedad nueva,Ya publicada - sin historial,Activa con historial"</formula1>
      <formula2>0</formula2>
    </dataValidation>
    <dataValidation type="list" allowBlank="1" sqref="C8" xr:uid="{00000000-0002-0000-0100-000002000000}">
      <formula1>"USD,MXN,USD y MXN"</formula1>
      <formula2>0</formula2>
    </dataValidation>
    <dataValidation type="list" allowBlank="1" sqref="C24" xr:uid="{00000000-0002-0000-0100-000003000000}">
      <formula1>"Split Fee  (15% huésped · 3% anfitrión),Host Only Fee  (15.5% anfitrión)"</formula1>
      <formula2>0</formula2>
    </dataValidation>
    <dataValidation type="list" allowBlank="1" sqref="C19" xr:uid="{00000000-0002-0000-0100-000004000000}">
      <formula1>"Sí,No,Por verificar"</formula1>
      <formula2>0</formula2>
    </dataValidation>
    <dataValidation type="list" allowBlank="1" sqref="C11" xr:uid="{00000000-0002-0000-0100-000005000000}">
      <formula1>"Bajo,Estándar,Lujo,Ultra Lujo,Temática"</formula1>
      <formula2>0</formula2>
    </dataValidation>
    <dataValidation type="date" allowBlank="1" showInputMessage="1" showErrorMessage="1" errorTitle="Fecha inválida" error="Por favor escribe una fecha real en formato dd/mm/aaaa (entre 2020 y 2030)._x000a__x000a_Ejemplo: 15/03/2026" promptTitle="📅 Fecha del estudio" prompt="Escribe la fecha en formato dd/mm/aaaa (ejemplo: 15/03/2026)._x000a__x000a_Esta fecha se usa para calcular la velocidad de reviews de cada competidor. Actualízala cada trimestre." sqref="C30" xr:uid="{B4ADF9AD-03F5-1B48-A5F3-D6A77EF38401}">
      <formula1>43831</formula1>
      <formula2>47848</formula2>
    </dataValidation>
    <dataValidation type="list" allowBlank="1" showInputMessage="1" showErrorMessage="1" errorTitle="Moneda no válida" error="Selecciona una opción de la lista." promptTitle="Moneda del estudio" prompt="Elige la moneda en la que llenarás los montos." sqref="C2" xr:uid="{5A4BE4F4-454C-D744-A200-66733B4E9283}">
      <formula1>_xlfn._LONGTEXT("MXN - Peso Mexicano,USD - Dólar EE.UU.,EUR - Euro,COP - Peso Colombiano,ARS - Peso Argentino,CLP - Peso Chileno,PEN - Sol Peruano,BRL - Real Brasileño,GTQ - Quetzal Guatemalteco,UYU - Peso Uruguayo,DOP - Peso Dominicano,CRC - Colón Costarricense,PAB - Bal","boa Panameño,BOB - Boliviano,PYG - Guaraní Paraguayo")</formula1>
    </dataValidation>
  </dataValidations>
  <pageMargins left="0.75" right="0.75" top="1" bottom="1"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8ADD"/>
  </sheetPr>
  <dimension ref="A1:AG1000"/>
  <sheetViews>
    <sheetView showGridLines="0" zoomScale="113" zoomScaleNormal="100" workbookViewId="0">
      <pane xSplit="3" topLeftCell="D1" activePane="topRight" state="frozen"/>
      <selection pane="topRight" activeCell="AC13" sqref="AC13"/>
    </sheetView>
  </sheetViews>
  <sheetFormatPr baseColWidth="10" defaultColWidth="14.5" defaultRowHeight="15" x14ac:dyDescent="0.2"/>
  <cols>
    <col min="1" max="1" width="3.1640625" style="23" customWidth="1"/>
    <col min="2" max="2" width="11.33203125" style="23" customWidth="1"/>
    <col min="3" max="3" width="38" style="23" customWidth="1"/>
    <col min="4" max="4" width="8" style="23" customWidth="1"/>
    <col min="5" max="7" width="7" style="23" customWidth="1"/>
    <col min="8" max="9" width="8" style="23" customWidth="1"/>
    <col min="10" max="10" width="10.83203125" style="23" customWidth="1"/>
    <col min="11" max="11" width="12.1640625" style="23" customWidth="1"/>
    <col min="12" max="12" width="9.33203125" style="23" customWidth="1"/>
    <col min="13" max="24" width="8" style="23" customWidth="1"/>
    <col min="25" max="25" width="12.1640625" style="23" customWidth="1"/>
    <col min="26" max="26" width="11.6640625" style="23" customWidth="1"/>
    <col min="27" max="30" width="18.83203125" style="23" customWidth="1"/>
    <col min="31" max="31" width="22" style="23" customWidth="1"/>
    <col min="32" max="32" width="28" style="23" customWidth="1"/>
    <col min="33" max="33" width="18" style="23" customWidth="1"/>
    <col min="34" max="16384" width="14.5" style="23"/>
  </cols>
  <sheetData>
    <row r="1" spans="1:33" ht="27.75" customHeight="1" x14ac:dyDescent="0.2">
      <c r="B1" s="258" t="s">
        <v>15</v>
      </c>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31"/>
    </row>
    <row r="2" spans="1:33" ht="34.5" customHeight="1" thickBot="1" x14ac:dyDescent="0.25">
      <c r="B2" s="42" t="s">
        <v>16</v>
      </c>
      <c r="C2" s="42" t="s">
        <v>17</v>
      </c>
      <c r="D2" s="42" t="s">
        <v>18</v>
      </c>
      <c r="E2" s="42" t="s">
        <v>19</v>
      </c>
      <c r="F2" s="42" t="s">
        <v>20</v>
      </c>
      <c r="G2" s="42" t="s">
        <v>21</v>
      </c>
      <c r="H2" s="43" t="s">
        <v>22</v>
      </c>
      <c r="I2" s="43" t="s">
        <v>23</v>
      </c>
      <c r="J2" s="44" t="s">
        <v>40</v>
      </c>
      <c r="K2" s="44" t="s">
        <v>185</v>
      </c>
      <c r="L2" s="44" t="s">
        <v>186</v>
      </c>
      <c r="M2" s="45" t="s">
        <v>24</v>
      </c>
      <c r="N2" s="45" t="s">
        <v>25</v>
      </c>
      <c r="O2" s="45" t="s">
        <v>26</v>
      </c>
      <c r="P2" s="45" t="s">
        <v>27</v>
      </c>
      <c r="Q2" s="45" t="s">
        <v>28</v>
      </c>
      <c r="R2" s="45" t="s">
        <v>29</v>
      </c>
      <c r="S2" s="45" t="s">
        <v>30</v>
      </c>
      <c r="T2" s="45" t="s">
        <v>31</v>
      </c>
      <c r="U2" s="45" t="s">
        <v>32</v>
      </c>
      <c r="V2" s="45" t="s">
        <v>33</v>
      </c>
      <c r="W2" s="45" t="s">
        <v>34</v>
      </c>
      <c r="X2" s="45" t="s">
        <v>35</v>
      </c>
      <c r="Y2" s="46" t="s">
        <v>187</v>
      </c>
      <c r="Z2" s="47" t="s">
        <v>36</v>
      </c>
      <c r="AA2" s="47" t="s">
        <v>188</v>
      </c>
      <c r="AB2" s="47" t="s">
        <v>189</v>
      </c>
      <c r="AC2" s="48" t="s">
        <v>39</v>
      </c>
      <c r="AD2" s="48" t="s">
        <v>190</v>
      </c>
      <c r="AE2" s="49" t="s">
        <v>117</v>
      </c>
      <c r="AF2" s="43" t="s">
        <v>37</v>
      </c>
      <c r="AG2" s="43" t="s">
        <v>38</v>
      </c>
    </row>
    <row r="3" spans="1:33" ht="34.5" customHeight="1" thickTop="1" thickBot="1" x14ac:dyDescent="0.25">
      <c r="B3" s="50" t="s">
        <v>146</v>
      </c>
      <c r="C3" s="51" t="s">
        <v>145</v>
      </c>
      <c r="D3" s="52">
        <v>2</v>
      </c>
      <c r="E3" s="282">
        <v>3</v>
      </c>
      <c r="F3" s="290">
        <v>1.5</v>
      </c>
      <c r="G3" s="283">
        <v>4</v>
      </c>
      <c r="H3" s="52">
        <v>50</v>
      </c>
      <c r="I3" s="53">
        <v>4.8</v>
      </c>
      <c r="J3" s="54">
        <v>44197</v>
      </c>
      <c r="K3" s="294">
        <f>IF(OR('1. Perfil'!$C$30="",J3=""),"",IFERROR(('1. Perfil'!$C$30-J3)/365,""))</f>
        <v>5.4438356164383563</v>
      </c>
      <c r="L3" s="294">
        <f>IF(OR('1. Perfil'!$C$30="",J3=""),"",IFERROR(H3/MAX(1,('1. Perfil'!$C$30-J3)/365),""))</f>
        <v>9.1847005535983897</v>
      </c>
      <c r="M3" s="55">
        <v>180</v>
      </c>
      <c r="N3" s="55">
        <v>185</v>
      </c>
      <c r="O3" s="55">
        <v>200</v>
      </c>
      <c r="P3" s="55">
        <v>195</v>
      </c>
      <c r="Q3" s="55">
        <v>210</v>
      </c>
      <c r="R3" s="55">
        <v>175</v>
      </c>
      <c r="S3" s="55">
        <v>170</v>
      </c>
      <c r="T3" s="55">
        <v>170</v>
      </c>
      <c r="U3" s="55">
        <v>165</v>
      </c>
      <c r="V3" s="55">
        <v>175</v>
      </c>
      <c r="W3" s="55">
        <v>185</v>
      </c>
      <c r="X3" s="55">
        <v>195</v>
      </c>
      <c r="Y3" s="295">
        <f>IFERROR(AVERAGEIF(M3:X3,"&lt;&gt;0",M3:X3),"")</f>
        <v>183.75</v>
      </c>
      <c r="Z3" s="56">
        <v>0.55000000000000004</v>
      </c>
      <c r="AA3" s="295">
        <f>IFERROR(Y3*Z3*30*(1-'1. Perfil'!$C$25),"")</f>
        <v>2940.9187500000003</v>
      </c>
      <c r="AB3" s="296">
        <f>IFERROR(AA3*12,"")</f>
        <v>35291.025000000001</v>
      </c>
      <c r="AC3" s="55">
        <v>185</v>
      </c>
      <c r="AD3" s="297">
        <f>IFERROR(Z3*AC3*30,"")</f>
        <v>3052.5000000000005</v>
      </c>
      <c r="AE3" s="57" t="s">
        <v>147</v>
      </c>
      <c r="AF3" s="58" t="s">
        <v>148</v>
      </c>
      <c r="AG3" s="59" t="s">
        <v>41</v>
      </c>
    </row>
    <row r="4" spans="1:33" ht="36" customHeight="1" thickTop="1" x14ac:dyDescent="0.2">
      <c r="B4" s="60">
        <v>1</v>
      </c>
      <c r="C4" s="255"/>
      <c r="D4" s="61"/>
      <c r="E4" s="284"/>
      <c r="F4" s="293"/>
      <c r="G4" s="285"/>
      <c r="H4" s="62"/>
      <c r="I4" s="63"/>
      <c r="J4" s="64"/>
      <c r="K4" s="298" t="str">
        <f>IF(OR('1. Perfil'!$C$30="",J4=""),"",IFERROR(('1. Perfil'!$C$30-J4)/365,""))</f>
        <v/>
      </c>
      <c r="L4" s="298" t="str">
        <f>IF(OR('1. Perfil'!$C$30="",J4=""),"",IFERROR(H4/MAX(1,('1. Perfil'!$C$30-J4)/365),""))</f>
        <v/>
      </c>
      <c r="M4" s="65"/>
      <c r="N4" s="65"/>
      <c r="O4" s="65"/>
      <c r="P4" s="65"/>
      <c r="Q4" s="65"/>
      <c r="R4" s="65"/>
      <c r="S4" s="65"/>
      <c r="T4" s="65"/>
      <c r="U4" s="65"/>
      <c r="V4" s="65"/>
      <c r="W4" s="65"/>
      <c r="X4" s="65"/>
      <c r="Y4" s="299" t="str">
        <f t="shared" ref="Y4:Y14" si="0">IFERROR(AVERAGEIF(M4:X4,"&lt;&gt;0",M4:X4),"")</f>
        <v/>
      </c>
      <c r="Z4" s="66"/>
      <c r="AA4" s="300" t="str">
        <f>IFERROR(Y4*Z4*30*(1-'1. Perfil'!$C$25),"")</f>
        <v/>
      </c>
      <c r="AB4" s="301" t="str">
        <f>IFERROR(AA4*12,"")</f>
        <v/>
      </c>
      <c r="AC4" s="67"/>
      <c r="AD4" s="302">
        <f>IFERROR(Z4*AC4*30,"")</f>
        <v>0</v>
      </c>
      <c r="AE4" s="68"/>
      <c r="AF4" s="68"/>
      <c r="AG4" s="69"/>
    </row>
    <row r="5" spans="1:33" ht="36" customHeight="1" x14ac:dyDescent="0.2">
      <c r="B5" s="70">
        <v>2</v>
      </c>
      <c r="C5" s="254"/>
      <c r="D5" s="72"/>
      <c r="E5" s="286"/>
      <c r="F5" s="292"/>
      <c r="G5" s="287"/>
      <c r="H5" s="73"/>
      <c r="I5" s="74"/>
      <c r="J5" s="75"/>
      <c r="K5" s="303" t="str">
        <f>IF(OR('1. Perfil'!$C$30="",J5=""),"",IFERROR(('1. Perfil'!$C$30-J5)/365,""))</f>
        <v/>
      </c>
      <c r="L5" s="303" t="str">
        <f>IF(OR('1. Perfil'!$C$30="",J5=""),"",IFERROR(H5/MAX(1,('1. Perfil'!$C$30-J5)/365),""))</f>
        <v/>
      </c>
      <c r="M5" s="76"/>
      <c r="N5" s="76"/>
      <c r="O5" s="76"/>
      <c r="P5" s="76"/>
      <c r="Q5" s="76"/>
      <c r="R5" s="76"/>
      <c r="S5" s="76"/>
      <c r="T5" s="76"/>
      <c r="U5" s="76"/>
      <c r="V5" s="76"/>
      <c r="W5" s="76"/>
      <c r="X5" s="76"/>
      <c r="Y5" s="304" t="str">
        <f t="shared" si="0"/>
        <v/>
      </c>
      <c r="Z5" s="77"/>
      <c r="AA5" s="305" t="str">
        <f>IFERROR(Y5*Z5*30*(1-'1. Perfil'!$C$25),"")</f>
        <v/>
      </c>
      <c r="AB5" s="306" t="str">
        <f t="shared" ref="AB5:AB13" si="1">IFERROR(AA5*12,"")</f>
        <v/>
      </c>
      <c r="AC5" s="78"/>
      <c r="AD5" s="307">
        <f t="shared" ref="AD5:AD14" si="2">IFERROR(Z5*AC5*30,"")</f>
        <v>0</v>
      </c>
      <c r="AE5" s="79"/>
      <c r="AF5" s="79"/>
      <c r="AG5" s="80"/>
    </row>
    <row r="6" spans="1:33" ht="36" customHeight="1" x14ac:dyDescent="0.2">
      <c r="B6" s="81">
        <v>3</v>
      </c>
      <c r="C6" s="254"/>
      <c r="D6" s="82"/>
      <c r="E6" s="288"/>
      <c r="F6" s="291"/>
      <c r="G6" s="289"/>
      <c r="H6" s="73"/>
      <c r="I6" s="74"/>
      <c r="J6" s="75"/>
      <c r="K6" s="303" t="str">
        <f>IF(OR('1. Perfil'!$C$30="",J6=""),"",IFERROR(('1. Perfil'!$C$30-J6)/365,""))</f>
        <v/>
      </c>
      <c r="L6" s="303" t="str">
        <f>IF(OR('1. Perfil'!$C$30="",J6=""),"",IFERROR(H6/MAX(1,('1. Perfil'!$C$30-J6)/365),""))</f>
        <v/>
      </c>
      <c r="M6" s="83"/>
      <c r="N6" s="83"/>
      <c r="O6" s="83"/>
      <c r="P6" s="83"/>
      <c r="Q6" s="83"/>
      <c r="R6" s="83"/>
      <c r="S6" s="83"/>
      <c r="T6" s="83"/>
      <c r="U6" s="83"/>
      <c r="V6" s="83"/>
      <c r="W6" s="83"/>
      <c r="X6" s="83"/>
      <c r="Y6" s="304" t="str">
        <f t="shared" si="0"/>
        <v/>
      </c>
      <c r="Z6" s="77"/>
      <c r="AA6" s="305" t="str">
        <f>IFERROR(Y6*Z6*30*(1-'1. Perfil'!$C$25),"")</f>
        <v/>
      </c>
      <c r="AB6" s="306" t="str">
        <f t="shared" si="1"/>
        <v/>
      </c>
      <c r="AC6" s="78"/>
      <c r="AD6" s="307">
        <f t="shared" si="2"/>
        <v>0</v>
      </c>
      <c r="AE6" s="79"/>
      <c r="AF6" s="79"/>
      <c r="AG6" s="80"/>
    </row>
    <row r="7" spans="1:33" ht="36" customHeight="1" x14ac:dyDescent="0.2">
      <c r="B7" s="70">
        <v>4</v>
      </c>
      <c r="C7" s="254"/>
      <c r="D7" s="72"/>
      <c r="E7" s="286"/>
      <c r="F7" s="292"/>
      <c r="G7" s="287"/>
      <c r="H7" s="73"/>
      <c r="I7" s="74"/>
      <c r="J7" s="75"/>
      <c r="K7" s="303" t="str">
        <f>IF(OR('1. Perfil'!$C$30="",J7=""),"",IFERROR(('1. Perfil'!$C$30-J7)/365,""))</f>
        <v/>
      </c>
      <c r="L7" s="303" t="str">
        <f>IF(OR('1. Perfil'!$C$30="",J7=""),"",IFERROR(H7/MAX(1,('1. Perfil'!$C$30-J7)/365),""))</f>
        <v/>
      </c>
      <c r="M7" s="76"/>
      <c r="N7" s="76"/>
      <c r="O7" s="76"/>
      <c r="P7" s="76"/>
      <c r="Q7" s="76"/>
      <c r="R7" s="76"/>
      <c r="S7" s="76"/>
      <c r="T7" s="76"/>
      <c r="U7" s="76"/>
      <c r="V7" s="76"/>
      <c r="W7" s="76"/>
      <c r="X7" s="76"/>
      <c r="Y7" s="304" t="str">
        <f t="shared" si="0"/>
        <v/>
      </c>
      <c r="Z7" s="77"/>
      <c r="AA7" s="305" t="str">
        <f>IFERROR(Y7*Z7*30*(1-'1. Perfil'!$C$25),"")</f>
        <v/>
      </c>
      <c r="AB7" s="306" t="str">
        <f t="shared" si="1"/>
        <v/>
      </c>
      <c r="AC7" s="78"/>
      <c r="AD7" s="307">
        <f t="shared" si="2"/>
        <v>0</v>
      </c>
      <c r="AE7" s="79"/>
      <c r="AF7" s="79"/>
      <c r="AG7" s="80"/>
    </row>
    <row r="8" spans="1:33" ht="36" customHeight="1" x14ac:dyDescent="0.2">
      <c r="B8" s="81">
        <v>5</v>
      </c>
      <c r="C8" s="254"/>
      <c r="D8" s="82"/>
      <c r="E8" s="288"/>
      <c r="F8" s="291"/>
      <c r="G8" s="289"/>
      <c r="H8" s="73"/>
      <c r="I8" s="74"/>
      <c r="J8" s="75"/>
      <c r="K8" s="303" t="str">
        <f>IF(OR('1. Perfil'!$C$30="",J8=""),"",IFERROR(('1. Perfil'!$C$30-J8)/365,""))</f>
        <v/>
      </c>
      <c r="L8" s="303" t="str">
        <f>IF(OR('1. Perfil'!$C$30="",J8=""),"",IFERROR(H8/MAX(1,('1. Perfil'!$C$30-J8)/365),""))</f>
        <v/>
      </c>
      <c r="M8" s="84"/>
      <c r="N8" s="84"/>
      <c r="O8" s="84"/>
      <c r="P8" s="84"/>
      <c r="Q8" s="84"/>
      <c r="R8" s="84"/>
      <c r="S8" s="84"/>
      <c r="T8" s="84"/>
      <c r="U8" s="84"/>
      <c r="V8" s="84"/>
      <c r="W8" s="84"/>
      <c r="X8" s="84"/>
      <c r="Y8" s="304" t="str">
        <f t="shared" si="0"/>
        <v/>
      </c>
      <c r="Z8" s="77"/>
      <c r="AA8" s="305" t="str">
        <f>IFERROR(Y8*Z8*30*(1-'1. Perfil'!$C$25),"")</f>
        <v/>
      </c>
      <c r="AB8" s="306" t="str">
        <f t="shared" si="1"/>
        <v/>
      </c>
      <c r="AC8" s="78"/>
      <c r="AD8" s="307">
        <f t="shared" si="2"/>
        <v>0</v>
      </c>
      <c r="AE8" s="79"/>
      <c r="AF8" s="79"/>
      <c r="AG8" s="80"/>
    </row>
    <row r="9" spans="1:33" ht="36" customHeight="1" x14ac:dyDescent="0.2">
      <c r="B9" s="70">
        <v>6</v>
      </c>
      <c r="C9" s="254"/>
      <c r="D9" s="72"/>
      <c r="E9" s="286"/>
      <c r="F9" s="292"/>
      <c r="G9" s="287"/>
      <c r="H9" s="73"/>
      <c r="I9" s="74"/>
      <c r="J9" s="75"/>
      <c r="K9" s="303" t="str">
        <f>IF(OR('1. Perfil'!$C$30="",J9=""),"",IFERROR(('1. Perfil'!$C$30-J9)/365,""))</f>
        <v/>
      </c>
      <c r="L9" s="303" t="str">
        <f>IF(OR('1. Perfil'!$C$30="",J9=""),"",IFERROR(H9/MAX(1,('1. Perfil'!$C$30-J9)/365),""))</f>
        <v/>
      </c>
      <c r="M9" s="85"/>
      <c r="N9" s="85"/>
      <c r="O9" s="85"/>
      <c r="P9" s="85"/>
      <c r="Q9" s="85"/>
      <c r="R9" s="85"/>
      <c r="S9" s="85"/>
      <c r="T9" s="85"/>
      <c r="U9" s="85"/>
      <c r="V9" s="85"/>
      <c r="W9" s="85"/>
      <c r="X9" s="85"/>
      <c r="Y9" s="304" t="str">
        <f t="shared" si="0"/>
        <v/>
      </c>
      <c r="Z9" s="77"/>
      <c r="AA9" s="305" t="str">
        <f>IFERROR(Y9*Z9*30*(1-'1. Perfil'!$C$25),"")</f>
        <v/>
      </c>
      <c r="AB9" s="306" t="str">
        <f t="shared" si="1"/>
        <v/>
      </c>
      <c r="AC9" s="78"/>
      <c r="AD9" s="307">
        <f t="shared" si="2"/>
        <v>0</v>
      </c>
      <c r="AE9" s="79"/>
      <c r="AF9" s="79"/>
      <c r="AG9" s="80"/>
    </row>
    <row r="10" spans="1:33" ht="36" customHeight="1" x14ac:dyDescent="0.2">
      <c r="B10" s="81">
        <v>7</v>
      </c>
      <c r="C10" s="71"/>
      <c r="D10" s="82"/>
      <c r="E10" s="288"/>
      <c r="F10" s="291"/>
      <c r="G10" s="289"/>
      <c r="H10" s="73"/>
      <c r="I10" s="74"/>
      <c r="J10" s="75"/>
      <c r="K10" s="303" t="str">
        <f>IF(OR('1. Perfil'!$C$30="",J10=""),"",IFERROR(('1. Perfil'!$C$30-J10)/365,""))</f>
        <v/>
      </c>
      <c r="L10" s="303" t="str">
        <f>IF(OR('1. Perfil'!$C$30="",J10=""),"",IFERROR(H10/MAX(1,('1. Perfil'!$C$30-J10)/365),""))</f>
        <v/>
      </c>
      <c r="M10" s="84"/>
      <c r="N10" s="84"/>
      <c r="O10" s="84"/>
      <c r="P10" s="84"/>
      <c r="Q10" s="84"/>
      <c r="R10" s="84"/>
      <c r="S10" s="84"/>
      <c r="T10" s="84"/>
      <c r="U10" s="84"/>
      <c r="V10" s="84"/>
      <c r="W10" s="84"/>
      <c r="X10" s="84"/>
      <c r="Y10" s="304" t="str">
        <f t="shared" si="0"/>
        <v/>
      </c>
      <c r="Z10" s="77"/>
      <c r="AA10" s="305" t="str">
        <f>IFERROR(Y10*Z10*30*(1-'1. Perfil'!$C$25),"")</f>
        <v/>
      </c>
      <c r="AB10" s="306" t="str">
        <f t="shared" si="1"/>
        <v/>
      </c>
      <c r="AC10" s="78"/>
      <c r="AD10" s="307">
        <f t="shared" si="2"/>
        <v>0</v>
      </c>
      <c r="AE10" s="79"/>
      <c r="AF10" s="79"/>
      <c r="AG10" s="80"/>
    </row>
    <row r="11" spans="1:33" ht="36" customHeight="1" x14ac:dyDescent="0.2">
      <c r="B11" s="70">
        <v>8</v>
      </c>
      <c r="C11" s="254"/>
      <c r="D11" s="72"/>
      <c r="E11" s="286"/>
      <c r="F11" s="292"/>
      <c r="G11" s="287"/>
      <c r="H11" s="73"/>
      <c r="I11" s="74"/>
      <c r="J11" s="75"/>
      <c r="K11" s="303" t="str">
        <f>IF(OR('1. Perfil'!$C$30="",J11=""),"",IFERROR(('1. Perfil'!$C$30-J11)/365,""))</f>
        <v/>
      </c>
      <c r="L11" s="303" t="str">
        <f>IF(OR('1. Perfil'!$C$30="",J11=""),"",IFERROR(H11/MAX(1,('1. Perfil'!$C$30-J11)/365),""))</f>
        <v/>
      </c>
      <c r="M11" s="85"/>
      <c r="N11" s="85"/>
      <c r="O11" s="85"/>
      <c r="P11" s="85"/>
      <c r="Q11" s="85"/>
      <c r="R11" s="85"/>
      <c r="S11" s="85"/>
      <c r="T11" s="85"/>
      <c r="U11" s="85"/>
      <c r="V11" s="85"/>
      <c r="W11" s="85"/>
      <c r="X11" s="85"/>
      <c r="Y11" s="304" t="str">
        <f t="shared" si="0"/>
        <v/>
      </c>
      <c r="Z11" s="77"/>
      <c r="AA11" s="305" t="str">
        <f>IFERROR(Y11*Z11*30*(1-'1. Perfil'!$C$25),"")</f>
        <v/>
      </c>
      <c r="AB11" s="306" t="str">
        <f t="shared" si="1"/>
        <v/>
      </c>
      <c r="AC11" s="78"/>
      <c r="AD11" s="307">
        <f t="shared" si="2"/>
        <v>0</v>
      </c>
      <c r="AE11" s="79"/>
      <c r="AF11" s="79"/>
      <c r="AG11" s="80"/>
    </row>
    <row r="12" spans="1:33" ht="36" customHeight="1" x14ac:dyDescent="0.2">
      <c r="B12" s="81">
        <v>9</v>
      </c>
      <c r="C12" s="254"/>
      <c r="D12" s="82"/>
      <c r="E12" s="288"/>
      <c r="F12" s="291"/>
      <c r="G12" s="289"/>
      <c r="H12" s="73"/>
      <c r="I12" s="74"/>
      <c r="J12" s="75"/>
      <c r="K12" s="303" t="str">
        <f>IF(OR('1. Perfil'!$C$30="",J12=""),"",IFERROR(('1. Perfil'!$C$30-J12)/365,""))</f>
        <v/>
      </c>
      <c r="L12" s="303" t="str">
        <f>IF(OR('1. Perfil'!$C$30="",J12=""),"",IFERROR(H12/MAX(1,('1. Perfil'!$C$30-J12)/365),""))</f>
        <v/>
      </c>
      <c r="M12" s="84"/>
      <c r="N12" s="84"/>
      <c r="O12" s="84"/>
      <c r="P12" s="84"/>
      <c r="Q12" s="84"/>
      <c r="R12" s="84"/>
      <c r="S12" s="84"/>
      <c r="T12" s="84"/>
      <c r="U12" s="84"/>
      <c r="V12" s="84"/>
      <c r="W12" s="84"/>
      <c r="X12" s="84"/>
      <c r="Y12" s="304" t="str">
        <f t="shared" si="0"/>
        <v/>
      </c>
      <c r="Z12" s="77"/>
      <c r="AA12" s="305" t="str">
        <f>IFERROR(Y12*Z12*30*(1-'1. Perfil'!$C$25),"")</f>
        <v/>
      </c>
      <c r="AB12" s="306" t="str">
        <f t="shared" si="1"/>
        <v/>
      </c>
      <c r="AC12" s="78"/>
      <c r="AD12" s="307">
        <f t="shared" si="2"/>
        <v>0</v>
      </c>
      <c r="AE12" s="79"/>
      <c r="AF12" s="79"/>
      <c r="AG12" s="80"/>
    </row>
    <row r="13" spans="1:33" ht="36" customHeight="1" x14ac:dyDescent="0.2">
      <c r="B13" s="70">
        <v>10</v>
      </c>
      <c r="C13" s="71"/>
      <c r="D13" s="72"/>
      <c r="E13" s="286"/>
      <c r="F13" s="292"/>
      <c r="G13" s="287"/>
      <c r="H13" s="73"/>
      <c r="I13" s="74"/>
      <c r="J13" s="75"/>
      <c r="K13" s="303" t="str">
        <f>IF(OR('1. Perfil'!$C$30="",J13=""),"",IFERROR(('1. Perfil'!$C$30-J13)/365,""))</f>
        <v/>
      </c>
      <c r="L13" s="303" t="str">
        <f>IF(OR('1. Perfil'!$C$30="",J13=""),"",IFERROR(H13/MAX(1,('1. Perfil'!$C$30-J13)/365),""))</f>
        <v/>
      </c>
      <c r="M13" s="85"/>
      <c r="N13" s="85"/>
      <c r="O13" s="85"/>
      <c r="P13" s="85"/>
      <c r="Q13" s="85"/>
      <c r="R13" s="85"/>
      <c r="S13" s="85"/>
      <c r="T13" s="85"/>
      <c r="U13" s="85"/>
      <c r="V13" s="85"/>
      <c r="W13" s="85"/>
      <c r="X13" s="85"/>
      <c r="Y13" s="304" t="str">
        <f t="shared" si="0"/>
        <v/>
      </c>
      <c r="Z13" s="77"/>
      <c r="AA13" s="305" t="str">
        <f>IFERROR(Y13*Z13*30*(1-'1. Perfil'!$C$25),"")</f>
        <v/>
      </c>
      <c r="AB13" s="306" t="str">
        <f t="shared" si="1"/>
        <v/>
      </c>
      <c r="AC13" s="78"/>
      <c r="AD13" s="307">
        <f t="shared" si="2"/>
        <v>0</v>
      </c>
      <c r="AE13" s="79"/>
      <c r="AF13" s="79"/>
      <c r="AG13" s="80"/>
    </row>
    <row r="14" spans="1:33" ht="35.25" customHeight="1" x14ac:dyDescent="0.2">
      <c r="B14" s="86" t="s">
        <v>42</v>
      </c>
      <c r="C14" s="87"/>
      <c r="D14" s="322">
        <f>'1. Perfil'!C10</f>
        <v>0</v>
      </c>
      <c r="E14" s="322">
        <f>'1. Perfil'!C11</f>
        <v>0</v>
      </c>
      <c r="F14" s="322">
        <f>'1. Perfil'!C12</f>
        <v>0</v>
      </c>
      <c r="G14" s="322">
        <f>'1. Perfil'!C13</f>
        <v>0</v>
      </c>
      <c r="H14" s="88"/>
      <c r="I14" s="89"/>
      <c r="J14" s="90"/>
      <c r="K14" s="308" t="str">
        <f>IF(OR('1. Perfil'!$C$30="",J14=""),"",IFERROR(('1. Perfil'!$C$30-J14)/365,""))</f>
        <v/>
      </c>
      <c r="L14" s="308" t="str">
        <f>IF(OR('1. Perfil'!$C$30="",J14=""),"",IFERROR(H14/MAX(1,('1. Perfil'!$C$30-J14)/365),""))</f>
        <v/>
      </c>
      <c r="M14" s="91"/>
      <c r="N14" s="91"/>
      <c r="O14" s="91"/>
      <c r="P14" s="91"/>
      <c r="Q14" s="91"/>
      <c r="R14" s="91"/>
      <c r="S14" s="91"/>
      <c r="T14" s="91"/>
      <c r="U14" s="91"/>
      <c r="V14" s="91"/>
      <c r="W14" s="91"/>
      <c r="X14" s="91"/>
      <c r="Y14" s="309" t="str">
        <f t="shared" si="0"/>
        <v/>
      </c>
      <c r="Z14" s="92"/>
      <c r="AA14" s="310" t="str">
        <f>IFERROR(Y14*Z14*30*(1-'1. Perfil'!$C$25),"")</f>
        <v/>
      </c>
      <c r="AB14" s="311" t="str">
        <f>IFERROR(AA14*12,"")</f>
        <v/>
      </c>
      <c r="AC14" s="93"/>
      <c r="AD14" s="312">
        <f t="shared" si="2"/>
        <v>0</v>
      </c>
      <c r="AE14" s="94"/>
      <c r="AF14" s="95"/>
      <c r="AG14" s="95"/>
    </row>
    <row r="15" spans="1:33" ht="15" customHeight="1" x14ac:dyDescent="0.2">
      <c r="A15" s="98"/>
      <c r="B15" s="96" t="s">
        <v>43</v>
      </c>
      <c r="C15" s="96"/>
      <c r="D15" s="96"/>
      <c r="E15" s="96"/>
      <c r="F15" s="96"/>
      <c r="G15" s="96"/>
      <c r="H15" s="313" t="str">
        <f>IFERROR(AVERAGEIF(H4:H14,"&lt;&gt;0",H4:H14),"")</f>
        <v/>
      </c>
      <c r="I15" s="314" t="str">
        <f>IFERROR(AVERAGEIF(I4:I14,"&lt;&gt;0",I4:I14),"")</f>
        <v/>
      </c>
      <c r="J15" s="97"/>
      <c r="K15" s="97"/>
      <c r="L15" s="315" t="str">
        <f>IFERROR(AVERAGEIF(L4:L14,"&lt;&gt;0",L4:L14),"")</f>
        <v/>
      </c>
      <c r="M15" s="316" t="str">
        <f t="shared" ref="M15:X15" si="3">IFERROR(AVERAGEIF(M4:M13,"&lt;&gt;0",M4:M13),"")</f>
        <v/>
      </c>
      <c r="N15" s="316" t="str">
        <f t="shared" si="3"/>
        <v/>
      </c>
      <c r="O15" s="316" t="str">
        <f t="shared" si="3"/>
        <v/>
      </c>
      <c r="P15" s="316" t="str">
        <f t="shared" si="3"/>
        <v/>
      </c>
      <c r="Q15" s="316" t="str">
        <f t="shared" si="3"/>
        <v/>
      </c>
      <c r="R15" s="316" t="str">
        <f t="shared" si="3"/>
        <v/>
      </c>
      <c r="S15" s="316" t="str">
        <f t="shared" si="3"/>
        <v/>
      </c>
      <c r="T15" s="316" t="str">
        <f t="shared" si="3"/>
        <v/>
      </c>
      <c r="U15" s="316" t="str">
        <f t="shared" si="3"/>
        <v/>
      </c>
      <c r="V15" s="316" t="str">
        <f t="shared" si="3"/>
        <v/>
      </c>
      <c r="W15" s="316" t="str">
        <f t="shared" si="3"/>
        <v/>
      </c>
      <c r="X15" s="316" t="str">
        <f t="shared" si="3"/>
        <v/>
      </c>
      <c r="Y15" s="316" t="str">
        <f>IFERROR(AVERAGE(Y4:Y13),"")</f>
        <v/>
      </c>
      <c r="Z15" s="317" t="str">
        <f>IFERROR(AVERAGE(Z4:Z13),"")</f>
        <v/>
      </c>
      <c r="AA15" s="318" t="str">
        <f>IFERROR(AVERAGE(AA4:AA13),"")</f>
        <v/>
      </c>
      <c r="AB15" s="319" t="str">
        <f>IFERROR(AVERAGE(AB4:AB14),"")</f>
        <v/>
      </c>
      <c r="AC15" s="320" t="str">
        <f>IFERROR(AVERAGEIF(AC4:AC14,"&lt;&gt;0",AC4:AC14),"")</f>
        <v/>
      </c>
      <c r="AD15" s="320" t="str">
        <f>IFERROR(AVERAGEIF(AD4:AD14,"&lt;&gt;0",AD4:AD14),"")</f>
        <v/>
      </c>
      <c r="AE15" s="98"/>
      <c r="AF15" s="98"/>
      <c r="AG15" s="98"/>
    </row>
    <row r="16" spans="1:33" ht="15" customHeight="1" x14ac:dyDescent="0.2">
      <c r="A16" s="31"/>
      <c r="B16" s="99" t="s">
        <v>44</v>
      </c>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row>
    <row r="17" spans="2:12" ht="22" customHeight="1" x14ac:dyDescent="0.2">
      <c r="B17" s="256" t="s">
        <v>191</v>
      </c>
      <c r="C17" s="257"/>
      <c r="D17" s="257"/>
      <c r="E17" s="257"/>
      <c r="F17" s="257"/>
      <c r="G17" s="257"/>
      <c r="H17" s="257"/>
      <c r="I17" s="257"/>
      <c r="J17" s="257"/>
      <c r="K17" s="257"/>
      <c r="L17" s="257"/>
    </row>
    <row r="18" spans="2:12" x14ac:dyDescent="0.2">
      <c r="B18" s="321" t="str">
        <f>IF('1. Perfil'!C30="","⚠ Falta fecha del estudio en '1. Perfil'!C30","📅 Fecha del estudio: "&amp;TEXT('1. Perfil'!C30,"dd/mmm/aaaa"))</f>
        <v>📅 Fecha del estudio: 11/jun/2026</v>
      </c>
    </row>
    <row r="21" spans="2:12" ht="15.75" customHeight="1" x14ac:dyDescent="0.2"/>
    <row r="22" spans="2:12" ht="15.75" customHeight="1" x14ac:dyDescent="0.2"/>
    <row r="23" spans="2:12" ht="15.75" customHeight="1" x14ac:dyDescent="0.2"/>
    <row r="24" spans="2:12" ht="15.75" customHeight="1" x14ac:dyDescent="0.2"/>
    <row r="25" spans="2:12" ht="15.75" customHeight="1" x14ac:dyDescent="0.2"/>
    <row r="26" spans="2:12" ht="15.75" customHeight="1" x14ac:dyDescent="0.2"/>
    <row r="27" spans="2:12" ht="15.75" customHeight="1" x14ac:dyDescent="0.2"/>
    <row r="28" spans="2:12" ht="15.75" customHeight="1" x14ac:dyDescent="0.2"/>
    <row r="29" spans="2:12" ht="15.75" customHeight="1" x14ac:dyDescent="0.2"/>
    <row r="30" spans="2:12" ht="15.75" customHeight="1" x14ac:dyDescent="0.2"/>
    <row r="31" spans="2:12" ht="15.75" customHeight="1" x14ac:dyDescent="0.2"/>
    <row r="32" spans="2:12" ht="15.75" customHeight="1" x14ac:dyDescent="0.2"/>
    <row r="33" s="23" customFormat="1" ht="15.75" customHeight="1" x14ac:dyDescent="0.2"/>
    <row r="34" s="23" customFormat="1" ht="15.75" customHeight="1" x14ac:dyDescent="0.2"/>
    <row r="35" s="23" customFormat="1" ht="15.75" customHeight="1" x14ac:dyDescent="0.2"/>
    <row r="36" s="23" customFormat="1" ht="15.75" customHeight="1" x14ac:dyDescent="0.2"/>
    <row r="37" s="23" customFormat="1" ht="15.75" customHeight="1" x14ac:dyDescent="0.2"/>
    <row r="38" s="23" customFormat="1" ht="15.75" customHeight="1" x14ac:dyDescent="0.2"/>
    <row r="39" s="23" customFormat="1" ht="15.75" customHeight="1" x14ac:dyDescent="0.2"/>
    <row r="40" s="23" customFormat="1" ht="15.75" customHeight="1" x14ac:dyDescent="0.2"/>
    <row r="41" s="23" customFormat="1" ht="15.75" customHeight="1" x14ac:dyDescent="0.2"/>
    <row r="42" s="23" customFormat="1" ht="15.75" customHeight="1" x14ac:dyDescent="0.2"/>
    <row r="43" s="23" customFormat="1" ht="15.75" customHeight="1" x14ac:dyDescent="0.2"/>
    <row r="44" s="23" customFormat="1" ht="15.75" customHeight="1" x14ac:dyDescent="0.2"/>
    <row r="45" s="23" customFormat="1" ht="15.75" customHeight="1" x14ac:dyDescent="0.2"/>
    <row r="46" s="23" customFormat="1" ht="15.75" customHeight="1" x14ac:dyDescent="0.2"/>
    <row r="47" s="23" customFormat="1" ht="15.75" customHeight="1" x14ac:dyDescent="0.2"/>
    <row r="48" s="23" customFormat="1" ht="15.75" customHeight="1" x14ac:dyDescent="0.2"/>
    <row r="49" s="23" customFormat="1" ht="15.75" customHeight="1" x14ac:dyDescent="0.2"/>
    <row r="50" s="23" customFormat="1" ht="15.75" customHeight="1" x14ac:dyDescent="0.2"/>
    <row r="51" s="23" customFormat="1" ht="15.75" customHeight="1" x14ac:dyDescent="0.2"/>
    <row r="52" s="23" customFormat="1" ht="15.75" customHeight="1" x14ac:dyDescent="0.2"/>
    <row r="53" s="23" customFormat="1" ht="15.75" customHeight="1" x14ac:dyDescent="0.2"/>
    <row r="54" s="23" customFormat="1" ht="15.75" customHeight="1" x14ac:dyDescent="0.2"/>
    <row r="55" s="23" customFormat="1" ht="15.75" customHeight="1" x14ac:dyDescent="0.2"/>
    <row r="56" s="23" customFormat="1" ht="15.75" customHeight="1" x14ac:dyDescent="0.2"/>
    <row r="57" s="23" customFormat="1" ht="15.75" customHeight="1" x14ac:dyDescent="0.2"/>
    <row r="58" s="23" customFormat="1" ht="15.75" customHeight="1" x14ac:dyDescent="0.2"/>
    <row r="59" s="23" customFormat="1" ht="15.75" customHeight="1" x14ac:dyDescent="0.2"/>
    <row r="60" s="23" customFormat="1" ht="15.75" customHeight="1" x14ac:dyDescent="0.2"/>
    <row r="61" s="23" customFormat="1" ht="15.75" customHeight="1" x14ac:dyDescent="0.2"/>
    <row r="62" s="23" customFormat="1" ht="15.75" customHeight="1" x14ac:dyDescent="0.2"/>
    <row r="63" s="23" customFormat="1" ht="15.75" customHeight="1" x14ac:dyDescent="0.2"/>
    <row r="64" s="23" customFormat="1" ht="15.75" customHeight="1" x14ac:dyDescent="0.2"/>
    <row r="65" s="23" customFormat="1" ht="15.75" customHeight="1" x14ac:dyDescent="0.2"/>
    <row r="66" s="23" customFormat="1" ht="15.75" customHeight="1" x14ac:dyDescent="0.2"/>
    <row r="67" s="23" customFormat="1" ht="15.75" customHeight="1" x14ac:dyDescent="0.2"/>
    <row r="68" s="23" customFormat="1" ht="15.75" customHeight="1" x14ac:dyDescent="0.2"/>
    <row r="69" s="23" customFormat="1" ht="15.75" customHeight="1" x14ac:dyDescent="0.2"/>
    <row r="70" s="23" customFormat="1" ht="15.75" customHeight="1" x14ac:dyDescent="0.2"/>
    <row r="71" s="23" customFormat="1" ht="15.75" customHeight="1" x14ac:dyDescent="0.2"/>
    <row r="72" s="23" customFormat="1" ht="15.75" customHeight="1" x14ac:dyDescent="0.2"/>
    <row r="73" s="23" customFormat="1" ht="15.75" customHeight="1" x14ac:dyDescent="0.2"/>
    <row r="74" s="23" customFormat="1" ht="15.75" customHeight="1" x14ac:dyDescent="0.2"/>
    <row r="75" s="23" customFormat="1" ht="15.75" customHeight="1" x14ac:dyDescent="0.2"/>
    <row r="76" s="23" customFormat="1" ht="15.75" customHeight="1" x14ac:dyDescent="0.2"/>
    <row r="77" s="23" customFormat="1" ht="15.75" customHeight="1" x14ac:dyDescent="0.2"/>
    <row r="78" s="23" customFormat="1" ht="15.75" customHeight="1" x14ac:dyDescent="0.2"/>
    <row r="79" s="23" customFormat="1" ht="15.75" customHeight="1" x14ac:dyDescent="0.2"/>
    <row r="80" s="23" customFormat="1" ht="15.75" customHeight="1" x14ac:dyDescent="0.2"/>
    <row r="81" s="23" customFormat="1" ht="15.75" customHeight="1" x14ac:dyDescent="0.2"/>
    <row r="82" s="23" customFormat="1" ht="15.75" customHeight="1" x14ac:dyDescent="0.2"/>
    <row r="83" s="23" customFormat="1" ht="15.75" customHeight="1" x14ac:dyDescent="0.2"/>
    <row r="84" s="23" customFormat="1" ht="15.75" customHeight="1" x14ac:dyDescent="0.2"/>
    <row r="85" s="23" customFormat="1" ht="15.75" customHeight="1" x14ac:dyDescent="0.2"/>
    <row r="86" s="23" customFormat="1" ht="15.75" customHeight="1" x14ac:dyDescent="0.2"/>
    <row r="87" s="23" customFormat="1" ht="15.75" customHeight="1" x14ac:dyDescent="0.2"/>
    <row r="88" s="23" customFormat="1" ht="15.75" customHeight="1" x14ac:dyDescent="0.2"/>
    <row r="89" s="23" customFormat="1" ht="15.75" customHeight="1" x14ac:dyDescent="0.2"/>
    <row r="90" s="23" customFormat="1" ht="15.75" customHeight="1" x14ac:dyDescent="0.2"/>
    <row r="91" s="23" customFormat="1" ht="15.75" customHeight="1" x14ac:dyDescent="0.2"/>
    <row r="92" s="23" customFormat="1" ht="15.75" customHeight="1" x14ac:dyDescent="0.2"/>
    <row r="93" s="23" customFormat="1" ht="15.75" customHeight="1" x14ac:dyDescent="0.2"/>
    <row r="94" s="23" customFormat="1" ht="15.75" customHeight="1" x14ac:dyDescent="0.2"/>
    <row r="95" s="23" customFormat="1" ht="15.75" customHeight="1" x14ac:dyDescent="0.2"/>
    <row r="96" s="23" customFormat="1" ht="15.75" customHeight="1" x14ac:dyDescent="0.2"/>
    <row r="97" s="23" customFormat="1" ht="15.75" customHeight="1" x14ac:dyDescent="0.2"/>
    <row r="98" s="23" customFormat="1" ht="15.75" customHeight="1" x14ac:dyDescent="0.2"/>
    <row r="99" s="23" customFormat="1" ht="15.75" customHeight="1" x14ac:dyDescent="0.2"/>
    <row r="100" s="23" customFormat="1" ht="15.75" customHeight="1" x14ac:dyDescent="0.2"/>
    <row r="101" s="23" customFormat="1" ht="15.75" customHeight="1" x14ac:dyDescent="0.2"/>
    <row r="102" s="23" customFormat="1" ht="15.75" customHeight="1" x14ac:dyDescent="0.2"/>
    <row r="103" s="23" customFormat="1" ht="15.75" customHeight="1" x14ac:dyDescent="0.2"/>
    <row r="104" s="23" customFormat="1" ht="15.75" customHeight="1" x14ac:dyDescent="0.2"/>
    <row r="105" s="23" customFormat="1" ht="15.75" customHeight="1" x14ac:dyDescent="0.2"/>
    <row r="106" s="23" customFormat="1" ht="15.75" customHeight="1" x14ac:dyDescent="0.2"/>
    <row r="107" s="23" customFormat="1" ht="15.75" customHeight="1" x14ac:dyDescent="0.2"/>
    <row r="108" s="23" customFormat="1" ht="15.75" customHeight="1" x14ac:dyDescent="0.2"/>
    <row r="109" s="23" customFormat="1" ht="15.75" customHeight="1" x14ac:dyDescent="0.2"/>
    <row r="110" s="23" customFormat="1" ht="15.75" customHeight="1" x14ac:dyDescent="0.2"/>
    <row r="111" s="23" customFormat="1" ht="15.75" customHeight="1" x14ac:dyDescent="0.2"/>
    <row r="112" s="23" customFormat="1" ht="15.75" customHeight="1" x14ac:dyDescent="0.2"/>
    <row r="113" s="23" customFormat="1" ht="15.75" customHeight="1" x14ac:dyDescent="0.2"/>
    <row r="114" s="23" customFormat="1" ht="15.75" customHeight="1" x14ac:dyDescent="0.2"/>
    <row r="115" s="23" customFormat="1" ht="15.75" customHeight="1" x14ac:dyDescent="0.2"/>
    <row r="116" s="23" customFormat="1" ht="15.75" customHeight="1" x14ac:dyDescent="0.2"/>
    <row r="117" s="23" customFormat="1" ht="15.75" customHeight="1" x14ac:dyDescent="0.2"/>
    <row r="118" s="23" customFormat="1" ht="15.75" customHeight="1" x14ac:dyDescent="0.2"/>
    <row r="119" s="23" customFormat="1" ht="15.75" customHeight="1" x14ac:dyDescent="0.2"/>
    <row r="120" s="23" customFormat="1" ht="15.75" customHeight="1" x14ac:dyDescent="0.2"/>
    <row r="121" s="23" customFormat="1" ht="15.75" customHeight="1" x14ac:dyDescent="0.2"/>
    <row r="122" s="23" customFormat="1" ht="15.75" customHeight="1" x14ac:dyDescent="0.2"/>
    <row r="123" s="23" customFormat="1" ht="15.75" customHeight="1" x14ac:dyDescent="0.2"/>
    <row r="124" s="23" customFormat="1" ht="15.75" customHeight="1" x14ac:dyDescent="0.2"/>
    <row r="125" s="23" customFormat="1" ht="15.75" customHeight="1" x14ac:dyDescent="0.2"/>
    <row r="126" s="23" customFormat="1" ht="15.75" customHeight="1" x14ac:dyDescent="0.2"/>
    <row r="127" s="23" customFormat="1" ht="15.75" customHeight="1" x14ac:dyDescent="0.2"/>
    <row r="128" s="23" customFormat="1" ht="15.75" customHeight="1" x14ac:dyDescent="0.2"/>
    <row r="129" s="23" customFormat="1" ht="15.75" customHeight="1" x14ac:dyDescent="0.2"/>
    <row r="130" s="23" customFormat="1" ht="15.75" customHeight="1" x14ac:dyDescent="0.2"/>
    <row r="131" s="23" customFormat="1" ht="15.75" customHeight="1" x14ac:dyDescent="0.2"/>
    <row r="132" s="23" customFormat="1" ht="15.75" customHeight="1" x14ac:dyDescent="0.2"/>
    <row r="133" s="23" customFormat="1" ht="15.75" customHeight="1" x14ac:dyDescent="0.2"/>
    <row r="134" s="23" customFormat="1" ht="15.75" customHeight="1" x14ac:dyDescent="0.2"/>
    <row r="135" s="23" customFormat="1" ht="15.75" customHeight="1" x14ac:dyDescent="0.2"/>
    <row r="136" s="23" customFormat="1" ht="15.75" customHeight="1" x14ac:dyDescent="0.2"/>
    <row r="137" s="23" customFormat="1" ht="15.75" customHeight="1" x14ac:dyDescent="0.2"/>
    <row r="138" s="23" customFormat="1" ht="15.75" customHeight="1" x14ac:dyDescent="0.2"/>
    <row r="139" s="23" customFormat="1" ht="15.75" customHeight="1" x14ac:dyDescent="0.2"/>
    <row r="140" s="23" customFormat="1" ht="15.75" customHeight="1" x14ac:dyDescent="0.2"/>
    <row r="141" s="23" customFormat="1" ht="15.75" customHeight="1" x14ac:dyDescent="0.2"/>
    <row r="142" s="23" customFormat="1" ht="15.75" customHeight="1" x14ac:dyDescent="0.2"/>
    <row r="143" s="23" customFormat="1" ht="15.75" customHeight="1" x14ac:dyDescent="0.2"/>
    <row r="144" s="23" customFormat="1" ht="15.75" customHeight="1" x14ac:dyDescent="0.2"/>
    <row r="145" s="23" customFormat="1" ht="15.75" customHeight="1" x14ac:dyDescent="0.2"/>
    <row r="146" s="23" customFormat="1" ht="15.75" customHeight="1" x14ac:dyDescent="0.2"/>
    <row r="147" s="23" customFormat="1" ht="15.75" customHeight="1" x14ac:dyDescent="0.2"/>
    <row r="148" s="23" customFormat="1" ht="15.75" customHeight="1" x14ac:dyDescent="0.2"/>
    <row r="149" s="23" customFormat="1" ht="15.75" customHeight="1" x14ac:dyDescent="0.2"/>
    <row r="150" s="23" customFormat="1" ht="15.75" customHeight="1" x14ac:dyDescent="0.2"/>
    <row r="151" s="23" customFormat="1" ht="15.75" customHeight="1" x14ac:dyDescent="0.2"/>
    <row r="152" s="23" customFormat="1" ht="15.75" customHeight="1" x14ac:dyDescent="0.2"/>
    <row r="153" s="23" customFormat="1" ht="15.75" customHeight="1" x14ac:dyDescent="0.2"/>
    <row r="154" s="23" customFormat="1" ht="15.75" customHeight="1" x14ac:dyDescent="0.2"/>
    <row r="155" s="23" customFormat="1" ht="15.75" customHeight="1" x14ac:dyDescent="0.2"/>
    <row r="156" s="23" customFormat="1" ht="15.75" customHeight="1" x14ac:dyDescent="0.2"/>
    <row r="157" s="23" customFormat="1" ht="15.75" customHeight="1" x14ac:dyDescent="0.2"/>
    <row r="158" s="23" customFormat="1" ht="15.75" customHeight="1" x14ac:dyDescent="0.2"/>
    <row r="159" s="23" customFormat="1" ht="15.75" customHeight="1" x14ac:dyDescent="0.2"/>
    <row r="160" s="23" customFormat="1" ht="15.75" customHeight="1" x14ac:dyDescent="0.2"/>
    <row r="161" s="23" customFormat="1" ht="15.75" customHeight="1" x14ac:dyDescent="0.2"/>
    <row r="162" s="23" customFormat="1" ht="15.75" customHeight="1" x14ac:dyDescent="0.2"/>
    <row r="163" s="23" customFormat="1" ht="15.75" customHeight="1" x14ac:dyDescent="0.2"/>
    <row r="164" s="23" customFormat="1" ht="15.75" customHeight="1" x14ac:dyDescent="0.2"/>
    <row r="165" s="23" customFormat="1" ht="15.75" customHeight="1" x14ac:dyDescent="0.2"/>
    <row r="166" s="23" customFormat="1" ht="15.75" customHeight="1" x14ac:dyDescent="0.2"/>
    <row r="167" s="23" customFormat="1" ht="15.75" customHeight="1" x14ac:dyDescent="0.2"/>
    <row r="168" s="23" customFormat="1" ht="15.75" customHeight="1" x14ac:dyDescent="0.2"/>
    <row r="169" s="23" customFormat="1" ht="15.75" customHeight="1" x14ac:dyDescent="0.2"/>
    <row r="170" s="23" customFormat="1" ht="15.75" customHeight="1" x14ac:dyDescent="0.2"/>
    <row r="171" s="23" customFormat="1" ht="15.75" customHeight="1" x14ac:dyDescent="0.2"/>
    <row r="172" s="23" customFormat="1" ht="15.75" customHeight="1" x14ac:dyDescent="0.2"/>
    <row r="173" s="23" customFormat="1" ht="15.75" customHeight="1" x14ac:dyDescent="0.2"/>
    <row r="174" s="23" customFormat="1" ht="15.75" customHeight="1" x14ac:dyDescent="0.2"/>
    <row r="175" s="23" customFormat="1" ht="15.75" customHeight="1" x14ac:dyDescent="0.2"/>
    <row r="176" s="23" customFormat="1" ht="15.75" customHeight="1" x14ac:dyDescent="0.2"/>
    <row r="177" s="23" customFormat="1" ht="15.75" customHeight="1" x14ac:dyDescent="0.2"/>
    <row r="178" s="23" customFormat="1" ht="15.75" customHeight="1" x14ac:dyDescent="0.2"/>
    <row r="179" s="23" customFormat="1" ht="15.75" customHeight="1" x14ac:dyDescent="0.2"/>
    <row r="180" s="23" customFormat="1" ht="15.75" customHeight="1" x14ac:dyDescent="0.2"/>
    <row r="181" s="23" customFormat="1" ht="15.75" customHeight="1" x14ac:dyDescent="0.2"/>
    <row r="182" s="23" customFormat="1" ht="15.75" customHeight="1" x14ac:dyDescent="0.2"/>
    <row r="183" s="23" customFormat="1" ht="15.75" customHeight="1" x14ac:dyDescent="0.2"/>
    <row r="184" s="23" customFormat="1" ht="15.75" customHeight="1" x14ac:dyDescent="0.2"/>
    <row r="185" s="23" customFormat="1" ht="15.75" customHeight="1" x14ac:dyDescent="0.2"/>
    <row r="186" s="23" customFormat="1" ht="15.75" customHeight="1" x14ac:dyDescent="0.2"/>
    <row r="187" s="23" customFormat="1" ht="15.75" customHeight="1" x14ac:dyDescent="0.2"/>
    <row r="188" s="23" customFormat="1" ht="15.75" customHeight="1" x14ac:dyDescent="0.2"/>
    <row r="189" s="23" customFormat="1" ht="15.75" customHeight="1" x14ac:dyDescent="0.2"/>
    <row r="190" s="23" customFormat="1" ht="15.75" customHeight="1" x14ac:dyDescent="0.2"/>
    <row r="191" s="23" customFormat="1" ht="15.75" customHeight="1" x14ac:dyDescent="0.2"/>
    <row r="192" s="23" customFormat="1" ht="15.75" customHeight="1" x14ac:dyDescent="0.2"/>
    <row r="193" s="23" customFormat="1" ht="15.75" customHeight="1" x14ac:dyDescent="0.2"/>
    <row r="194" s="23" customFormat="1" ht="15.75" customHeight="1" x14ac:dyDescent="0.2"/>
    <row r="195" s="23" customFormat="1" ht="15.75" customHeight="1" x14ac:dyDescent="0.2"/>
    <row r="196" s="23" customFormat="1" ht="15.75" customHeight="1" x14ac:dyDescent="0.2"/>
    <row r="197" s="23" customFormat="1" ht="15.75" customHeight="1" x14ac:dyDescent="0.2"/>
    <row r="198" s="23" customFormat="1" ht="15.75" customHeight="1" x14ac:dyDescent="0.2"/>
    <row r="199" s="23" customFormat="1" ht="15.75" customHeight="1" x14ac:dyDescent="0.2"/>
    <row r="200" s="23" customFormat="1" ht="15.75" customHeight="1" x14ac:dyDescent="0.2"/>
    <row r="201" s="23" customFormat="1" ht="15.75" customHeight="1" x14ac:dyDescent="0.2"/>
    <row r="202" s="23" customFormat="1" ht="15.75" customHeight="1" x14ac:dyDescent="0.2"/>
    <row r="203" s="23" customFormat="1" ht="15.75" customHeight="1" x14ac:dyDescent="0.2"/>
    <row r="204" s="23" customFormat="1" ht="15.75" customHeight="1" x14ac:dyDescent="0.2"/>
    <row r="205" s="23" customFormat="1" ht="15.75" customHeight="1" x14ac:dyDescent="0.2"/>
    <row r="206" s="23" customFormat="1" ht="15.75" customHeight="1" x14ac:dyDescent="0.2"/>
    <row r="207" s="23" customFormat="1" ht="15.75" customHeight="1" x14ac:dyDescent="0.2"/>
    <row r="208" s="23" customFormat="1" ht="15.75" customHeight="1" x14ac:dyDescent="0.2"/>
    <row r="209" s="23" customFormat="1" ht="15.75" customHeight="1" x14ac:dyDescent="0.2"/>
    <row r="210" s="23" customFormat="1" ht="15.75" customHeight="1" x14ac:dyDescent="0.2"/>
    <row r="211" s="23" customFormat="1" ht="15.75" customHeight="1" x14ac:dyDescent="0.2"/>
    <row r="212" s="23" customFormat="1" ht="15.75" customHeight="1" x14ac:dyDescent="0.2"/>
    <row r="213" s="23" customFormat="1" ht="15.75" customHeight="1" x14ac:dyDescent="0.2"/>
    <row r="214" s="23" customFormat="1" ht="15.75" customHeight="1" x14ac:dyDescent="0.2"/>
    <row r="215" s="23" customFormat="1" ht="15.75" customHeight="1" x14ac:dyDescent="0.2"/>
    <row r="216" s="23" customFormat="1" ht="15.75" customHeight="1" x14ac:dyDescent="0.2"/>
    <row r="217" s="23" customFormat="1" ht="15.75" customHeight="1" x14ac:dyDescent="0.2"/>
    <row r="218" s="23" customFormat="1" ht="15.75" customHeight="1" x14ac:dyDescent="0.2"/>
    <row r="219" s="23" customFormat="1" ht="15.75" customHeight="1" x14ac:dyDescent="0.2"/>
    <row r="220" s="23" customFormat="1" ht="15.75" customHeight="1" x14ac:dyDescent="0.2"/>
    <row r="221" s="23" customFormat="1" ht="15.75" customHeight="1" x14ac:dyDescent="0.2"/>
    <row r="222" s="23" customFormat="1" ht="15.75" customHeight="1" x14ac:dyDescent="0.2"/>
    <row r="223" s="23" customFormat="1" ht="15.75" customHeight="1" x14ac:dyDescent="0.2"/>
    <row r="224" s="23" customFormat="1" ht="15.75" customHeight="1" x14ac:dyDescent="0.2"/>
    <row r="225" s="23" customFormat="1" ht="15.75" customHeight="1" x14ac:dyDescent="0.2"/>
    <row r="226" s="23" customFormat="1" ht="15.75" customHeight="1" x14ac:dyDescent="0.2"/>
    <row r="227" s="23" customFormat="1" ht="15.75" customHeight="1" x14ac:dyDescent="0.2"/>
    <row r="228" s="23" customFormat="1" ht="15.75" customHeight="1" x14ac:dyDescent="0.2"/>
    <row r="229" s="23" customFormat="1" ht="15.75" customHeight="1" x14ac:dyDescent="0.2"/>
    <row r="230" s="23" customFormat="1" ht="15.75" customHeight="1" x14ac:dyDescent="0.2"/>
    <row r="231" s="23" customFormat="1" ht="15.75" customHeight="1" x14ac:dyDescent="0.2"/>
    <row r="232" s="23" customFormat="1" ht="15.75" customHeight="1" x14ac:dyDescent="0.2"/>
    <row r="233" s="23" customFormat="1" ht="15.75" customHeight="1" x14ac:dyDescent="0.2"/>
    <row r="234" s="23" customFormat="1" ht="15.75" customHeight="1" x14ac:dyDescent="0.2"/>
    <row r="235" s="23" customFormat="1" ht="15.75" customHeight="1" x14ac:dyDescent="0.2"/>
    <row r="236" s="23" customFormat="1" ht="15.75" customHeight="1" x14ac:dyDescent="0.2"/>
    <row r="237" s="23" customFormat="1" ht="15.75" customHeight="1" x14ac:dyDescent="0.2"/>
    <row r="238" s="23" customFormat="1" ht="15.75" customHeight="1" x14ac:dyDescent="0.2"/>
    <row r="239" s="23" customFormat="1" ht="15.75" customHeight="1" x14ac:dyDescent="0.2"/>
    <row r="240" s="23" customFormat="1" ht="15.75" customHeight="1" x14ac:dyDescent="0.2"/>
    <row r="241" s="23" customFormat="1" ht="15.75" customHeight="1" x14ac:dyDescent="0.2"/>
    <row r="242" s="23" customFormat="1" ht="15.75" customHeight="1" x14ac:dyDescent="0.2"/>
    <row r="243" s="23" customFormat="1" ht="15.75" customHeight="1" x14ac:dyDescent="0.2"/>
    <row r="244" s="23" customFormat="1" ht="15.75" customHeight="1" x14ac:dyDescent="0.2"/>
    <row r="245" s="23" customFormat="1" ht="15.75" customHeight="1" x14ac:dyDescent="0.2"/>
    <row r="246" s="23" customFormat="1" ht="15.75" customHeight="1" x14ac:dyDescent="0.2"/>
    <row r="247" s="23" customFormat="1" ht="15.75" customHeight="1" x14ac:dyDescent="0.2"/>
    <row r="248" s="23" customFormat="1" ht="15.75" customHeight="1" x14ac:dyDescent="0.2"/>
    <row r="249" s="23" customFormat="1" ht="15.75" customHeight="1" x14ac:dyDescent="0.2"/>
    <row r="250" s="23" customFormat="1" ht="15.75" customHeight="1" x14ac:dyDescent="0.2"/>
    <row r="251" s="23" customFormat="1" ht="15.75" customHeight="1" x14ac:dyDescent="0.2"/>
    <row r="252" s="23" customFormat="1" ht="15.75" customHeight="1" x14ac:dyDescent="0.2"/>
    <row r="253" s="23" customFormat="1" ht="15.75" customHeight="1" x14ac:dyDescent="0.2"/>
    <row r="254" s="23" customFormat="1" ht="15.75" customHeight="1" x14ac:dyDescent="0.2"/>
    <row r="255" s="23" customFormat="1" ht="15.75" customHeight="1" x14ac:dyDescent="0.2"/>
    <row r="256" s="23" customFormat="1" ht="15.75" customHeight="1" x14ac:dyDescent="0.2"/>
    <row r="257" s="23" customFormat="1" ht="15.75" customHeight="1" x14ac:dyDescent="0.2"/>
    <row r="258" s="23" customFormat="1" ht="15.75" customHeight="1" x14ac:dyDescent="0.2"/>
    <row r="259" s="23" customFormat="1" ht="15.75" customHeight="1" x14ac:dyDescent="0.2"/>
    <row r="260" s="23" customFormat="1" ht="15.75" customHeight="1" x14ac:dyDescent="0.2"/>
    <row r="261" s="23" customFormat="1" ht="15.75" customHeight="1" x14ac:dyDescent="0.2"/>
    <row r="262" s="23" customFormat="1" ht="15.75" customHeight="1" x14ac:dyDescent="0.2"/>
    <row r="263" s="23" customFormat="1" ht="15.75" customHeight="1" x14ac:dyDescent="0.2"/>
    <row r="264" s="23" customFormat="1" ht="15.75" customHeight="1" x14ac:dyDescent="0.2"/>
    <row r="265" s="23" customFormat="1" ht="15.75" customHeight="1" x14ac:dyDescent="0.2"/>
    <row r="266" s="23" customFormat="1" ht="15.75" customHeight="1" x14ac:dyDescent="0.2"/>
    <row r="267" s="23" customFormat="1" ht="15.75" customHeight="1" x14ac:dyDescent="0.2"/>
    <row r="268" s="23" customFormat="1" ht="15.75" customHeight="1" x14ac:dyDescent="0.2"/>
    <row r="269" s="23" customFormat="1" ht="15.75" customHeight="1" x14ac:dyDescent="0.2"/>
    <row r="270" s="23" customFormat="1" ht="15.75" customHeight="1" x14ac:dyDescent="0.2"/>
    <row r="271" s="23" customFormat="1" ht="15.75" customHeight="1" x14ac:dyDescent="0.2"/>
    <row r="272" s="23" customFormat="1" ht="15.75" customHeight="1" x14ac:dyDescent="0.2"/>
    <row r="273" s="23" customFormat="1" ht="15.75" customHeight="1" x14ac:dyDescent="0.2"/>
    <row r="274" s="23" customFormat="1" ht="15.75" customHeight="1" x14ac:dyDescent="0.2"/>
    <row r="275" s="23" customFormat="1" ht="15.75" customHeight="1" x14ac:dyDescent="0.2"/>
    <row r="276" s="23" customFormat="1" ht="15.75" customHeight="1" x14ac:dyDescent="0.2"/>
    <row r="277" s="23" customFormat="1" ht="15.75" customHeight="1" x14ac:dyDescent="0.2"/>
    <row r="278" s="23" customFormat="1" ht="15.75" customHeight="1" x14ac:dyDescent="0.2"/>
    <row r="279" s="23" customFormat="1" ht="15.75" customHeight="1" x14ac:dyDescent="0.2"/>
    <row r="280" s="23" customFormat="1" ht="15.75" customHeight="1" x14ac:dyDescent="0.2"/>
    <row r="281" s="23" customFormat="1" ht="15.75" customHeight="1" x14ac:dyDescent="0.2"/>
    <row r="282" s="23" customFormat="1" ht="15.75" customHeight="1" x14ac:dyDescent="0.2"/>
    <row r="283" s="23" customFormat="1" ht="15.75" customHeight="1" x14ac:dyDescent="0.2"/>
    <row r="284" s="23" customFormat="1" ht="15.75" customHeight="1" x14ac:dyDescent="0.2"/>
    <row r="285" s="23" customFormat="1" ht="15.75" customHeight="1" x14ac:dyDescent="0.2"/>
    <row r="286" s="23" customFormat="1" ht="15.75" customHeight="1" x14ac:dyDescent="0.2"/>
    <row r="287" s="23" customFormat="1" ht="15.75" customHeight="1" x14ac:dyDescent="0.2"/>
    <row r="288" s="23" customFormat="1" ht="15.75" customHeight="1" x14ac:dyDescent="0.2"/>
    <row r="289" s="23" customFormat="1" ht="15.75" customHeight="1" x14ac:dyDescent="0.2"/>
    <row r="290" s="23" customFormat="1" ht="15.75" customHeight="1" x14ac:dyDescent="0.2"/>
    <row r="291" s="23" customFormat="1" ht="15.75" customHeight="1" x14ac:dyDescent="0.2"/>
    <row r="292" s="23" customFormat="1" ht="15.75" customHeight="1" x14ac:dyDescent="0.2"/>
    <row r="293" s="23" customFormat="1" ht="15.75" customHeight="1" x14ac:dyDescent="0.2"/>
    <row r="294" s="23" customFormat="1" ht="15.75" customHeight="1" x14ac:dyDescent="0.2"/>
    <row r="295" s="23" customFormat="1" ht="15.75" customHeight="1" x14ac:dyDescent="0.2"/>
    <row r="296" s="23" customFormat="1" ht="15.75" customHeight="1" x14ac:dyDescent="0.2"/>
    <row r="297" s="23" customFormat="1" ht="15.75" customHeight="1" x14ac:dyDescent="0.2"/>
    <row r="298" s="23" customFormat="1" ht="15.75" customHeight="1" x14ac:dyDescent="0.2"/>
    <row r="299" s="23" customFormat="1" ht="15.75" customHeight="1" x14ac:dyDescent="0.2"/>
    <row r="300" s="23" customFormat="1" ht="15.75" customHeight="1" x14ac:dyDescent="0.2"/>
    <row r="301" s="23" customFormat="1" ht="15.75" customHeight="1" x14ac:dyDescent="0.2"/>
    <row r="302" s="23" customFormat="1" ht="15.75" customHeight="1" x14ac:dyDescent="0.2"/>
    <row r="303" s="23" customFormat="1" ht="15.75" customHeight="1" x14ac:dyDescent="0.2"/>
    <row r="304" s="23" customFormat="1" ht="15.75" customHeight="1" x14ac:dyDescent="0.2"/>
    <row r="305" s="23" customFormat="1" ht="15.75" customHeight="1" x14ac:dyDescent="0.2"/>
    <row r="306" s="23" customFormat="1" ht="15.75" customHeight="1" x14ac:dyDescent="0.2"/>
    <row r="307" s="23" customFormat="1" ht="15.75" customHeight="1" x14ac:dyDescent="0.2"/>
    <row r="308" s="23" customFormat="1" ht="15.75" customHeight="1" x14ac:dyDescent="0.2"/>
    <row r="309" s="23" customFormat="1" ht="15.75" customHeight="1" x14ac:dyDescent="0.2"/>
    <row r="310" s="23" customFormat="1" ht="15.75" customHeight="1" x14ac:dyDescent="0.2"/>
    <row r="311" s="23" customFormat="1" ht="15.75" customHeight="1" x14ac:dyDescent="0.2"/>
    <row r="312" s="23" customFormat="1" ht="15.75" customHeight="1" x14ac:dyDescent="0.2"/>
    <row r="313" s="23" customFormat="1" ht="15.75" customHeight="1" x14ac:dyDescent="0.2"/>
    <row r="314" s="23" customFormat="1" ht="15.75" customHeight="1" x14ac:dyDescent="0.2"/>
    <row r="315" s="23" customFormat="1" ht="15.75" customHeight="1" x14ac:dyDescent="0.2"/>
    <row r="316" s="23" customFormat="1" ht="15.75" customHeight="1" x14ac:dyDescent="0.2"/>
    <row r="317" s="23" customFormat="1" ht="15.75" customHeight="1" x14ac:dyDescent="0.2"/>
    <row r="318" s="23" customFormat="1" ht="15.75" customHeight="1" x14ac:dyDescent="0.2"/>
    <row r="319" s="23" customFormat="1" ht="15.75" customHeight="1" x14ac:dyDescent="0.2"/>
    <row r="320" s="23" customFormat="1" ht="15.75" customHeight="1" x14ac:dyDescent="0.2"/>
    <row r="321" s="23" customFormat="1" ht="15.75" customHeight="1" x14ac:dyDescent="0.2"/>
    <row r="322" s="23" customFormat="1" ht="15.75" customHeight="1" x14ac:dyDescent="0.2"/>
    <row r="323" s="23" customFormat="1" ht="15.75" customHeight="1" x14ac:dyDescent="0.2"/>
    <row r="324" s="23" customFormat="1" ht="15.75" customHeight="1" x14ac:dyDescent="0.2"/>
    <row r="325" s="23" customFormat="1" ht="15.75" customHeight="1" x14ac:dyDescent="0.2"/>
    <row r="326" s="23" customFormat="1" ht="15.75" customHeight="1" x14ac:dyDescent="0.2"/>
    <row r="327" s="23" customFormat="1" ht="15.75" customHeight="1" x14ac:dyDescent="0.2"/>
    <row r="328" s="23" customFormat="1" ht="15.75" customHeight="1" x14ac:dyDescent="0.2"/>
    <row r="329" s="23" customFormat="1" ht="15.75" customHeight="1" x14ac:dyDescent="0.2"/>
    <row r="330" s="23" customFormat="1" ht="15.75" customHeight="1" x14ac:dyDescent="0.2"/>
    <row r="331" s="23" customFormat="1" ht="15.75" customHeight="1" x14ac:dyDescent="0.2"/>
    <row r="332" s="23" customFormat="1" ht="15.75" customHeight="1" x14ac:dyDescent="0.2"/>
    <row r="333" s="23" customFormat="1" ht="15.75" customHeight="1" x14ac:dyDescent="0.2"/>
    <row r="334" s="23" customFormat="1" ht="15.75" customHeight="1" x14ac:dyDescent="0.2"/>
    <row r="335" s="23" customFormat="1" ht="15.75" customHeight="1" x14ac:dyDescent="0.2"/>
    <row r="336" s="23" customFormat="1" ht="15.75" customHeight="1" x14ac:dyDescent="0.2"/>
    <row r="337" s="23" customFormat="1" ht="15.75" customHeight="1" x14ac:dyDescent="0.2"/>
    <row r="338" s="23" customFormat="1" ht="15.75" customHeight="1" x14ac:dyDescent="0.2"/>
    <row r="339" s="23" customFormat="1" ht="15.75" customHeight="1" x14ac:dyDescent="0.2"/>
    <row r="340" s="23" customFormat="1" ht="15.75" customHeight="1" x14ac:dyDescent="0.2"/>
    <row r="341" s="23" customFormat="1" ht="15.75" customHeight="1" x14ac:dyDescent="0.2"/>
    <row r="342" s="23" customFormat="1" ht="15.75" customHeight="1" x14ac:dyDescent="0.2"/>
    <row r="343" s="23" customFormat="1" ht="15.75" customHeight="1" x14ac:dyDescent="0.2"/>
    <row r="344" s="23" customFormat="1" ht="15.75" customHeight="1" x14ac:dyDescent="0.2"/>
    <row r="345" s="23" customFormat="1" ht="15.75" customHeight="1" x14ac:dyDescent="0.2"/>
    <row r="346" s="23" customFormat="1" ht="15.75" customHeight="1" x14ac:dyDescent="0.2"/>
    <row r="347" s="23" customFormat="1" ht="15.75" customHeight="1" x14ac:dyDescent="0.2"/>
    <row r="348" s="23" customFormat="1" ht="15.75" customHeight="1" x14ac:dyDescent="0.2"/>
    <row r="349" s="23" customFormat="1" ht="15.75" customHeight="1" x14ac:dyDescent="0.2"/>
    <row r="350" s="23" customFormat="1" ht="15.75" customHeight="1" x14ac:dyDescent="0.2"/>
    <row r="351" s="23" customFormat="1" ht="15.75" customHeight="1" x14ac:dyDescent="0.2"/>
    <row r="352" s="23" customFormat="1" ht="15.75" customHeight="1" x14ac:dyDescent="0.2"/>
    <row r="353" s="23" customFormat="1" ht="15.75" customHeight="1" x14ac:dyDescent="0.2"/>
    <row r="354" s="23" customFormat="1" ht="15.75" customHeight="1" x14ac:dyDescent="0.2"/>
    <row r="355" s="23" customFormat="1" ht="15.75" customHeight="1" x14ac:dyDescent="0.2"/>
    <row r="356" s="23" customFormat="1" ht="15.75" customHeight="1" x14ac:dyDescent="0.2"/>
    <row r="357" s="23" customFormat="1" ht="15.75" customHeight="1" x14ac:dyDescent="0.2"/>
    <row r="358" s="23" customFormat="1" ht="15.75" customHeight="1" x14ac:dyDescent="0.2"/>
    <row r="359" s="23" customFormat="1" ht="15.75" customHeight="1" x14ac:dyDescent="0.2"/>
    <row r="360" s="23" customFormat="1" ht="15.75" customHeight="1" x14ac:dyDescent="0.2"/>
    <row r="361" s="23" customFormat="1" ht="15.75" customHeight="1" x14ac:dyDescent="0.2"/>
    <row r="362" s="23" customFormat="1" ht="15.75" customHeight="1" x14ac:dyDescent="0.2"/>
    <row r="363" s="23" customFormat="1" ht="15.75" customHeight="1" x14ac:dyDescent="0.2"/>
    <row r="364" s="23" customFormat="1" ht="15.75" customHeight="1" x14ac:dyDescent="0.2"/>
    <row r="365" s="23" customFormat="1" ht="15.75" customHeight="1" x14ac:dyDescent="0.2"/>
    <row r="366" s="23" customFormat="1" ht="15.75" customHeight="1" x14ac:dyDescent="0.2"/>
    <row r="367" s="23" customFormat="1" ht="15.75" customHeight="1" x14ac:dyDescent="0.2"/>
    <row r="368" s="23" customFormat="1" ht="15.75" customHeight="1" x14ac:dyDescent="0.2"/>
    <row r="369" s="23" customFormat="1" ht="15.75" customHeight="1" x14ac:dyDescent="0.2"/>
    <row r="370" s="23" customFormat="1" ht="15.75" customHeight="1" x14ac:dyDescent="0.2"/>
    <row r="371" s="23" customFormat="1" ht="15.75" customHeight="1" x14ac:dyDescent="0.2"/>
    <row r="372" s="23" customFormat="1" ht="15.75" customHeight="1" x14ac:dyDescent="0.2"/>
    <row r="373" s="23" customFormat="1" ht="15.75" customHeight="1" x14ac:dyDescent="0.2"/>
    <row r="374" s="23" customFormat="1" ht="15.75" customHeight="1" x14ac:dyDescent="0.2"/>
    <row r="375" s="23" customFormat="1" ht="15.75" customHeight="1" x14ac:dyDescent="0.2"/>
    <row r="376" s="23" customFormat="1" ht="15.75" customHeight="1" x14ac:dyDescent="0.2"/>
    <row r="377" s="23" customFormat="1" ht="15.75" customHeight="1" x14ac:dyDescent="0.2"/>
    <row r="378" s="23" customFormat="1" ht="15.75" customHeight="1" x14ac:dyDescent="0.2"/>
    <row r="379" s="23" customFormat="1" ht="15.75" customHeight="1" x14ac:dyDescent="0.2"/>
    <row r="380" s="23" customFormat="1" ht="15.75" customHeight="1" x14ac:dyDescent="0.2"/>
    <row r="381" s="23" customFormat="1" ht="15.75" customHeight="1" x14ac:dyDescent="0.2"/>
    <row r="382" s="23" customFormat="1" ht="15.75" customHeight="1" x14ac:dyDescent="0.2"/>
    <row r="383" s="23" customFormat="1" ht="15.75" customHeight="1" x14ac:dyDescent="0.2"/>
    <row r="384" s="23" customFormat="1" ht="15.75" customHeight="1" x14ac:dyDescent="0.2"/>
    <row r="385" s="23" customFormat="1" ht="15.75" customHeight="1" x14ac:dyDescent="0.2"/>
    <row r="386" s="23" customFormat="1" ht="15.75" customHeight="1" x14ac:dyDescent="0.2"/>
    <row r="387" s="23" customFormat="1" ht="15.75" customHeight="1" x14ac:dyDescent="0.2"/>
    <row r="388" s="23" customFormat="1" ht="15.75" customHeight="1" x14ac:dyDescent="0.2"/>
    <row r="389" s="23" customFormat="1" ht="15.75" customHeight="1" x14ac:dyDescent="0.2"/>
    <row r="390" s="23" customFormat="1" ht="15.75" customHeight="1" x14ac:dyDescent="0.2"/>
    <row r="391" s="23" customFormat="1" ht="15.75" customHeight="1" x14ac:dyDescent="0.2"/>
    <row r="392" s="23" customFormat="1" ht="15.75" customHeight="1" x14ac:dyDescent="0.2"/>
    <row r="393" s="23" customFormat="1" ht="15.75" customHeight="1" x14ac:dyDescent="0.2"/>
    <row r="394" s="23" customFormat="1" ht="15.75" customHeight="1" x14ac:dyDescent="0.2"/>
    <row r="395" s="23" customFormat="1" ht="15.75" customHeight="1" x14ac:dyDescent="0.2"/>
    <row r="396" s="23" customFormat="1" ht="15.75" customHeight="1" x14ac:dyDescent="0.2"/>
    <row r="397" s="23" customFormat="1" ht="15.75" customHeight="1" x14ac:dyDescent="0.2"/>
    <row r="398" s="23" customFormat="1" ht="15.75" customHeight="1" x14ac:dyDescent="0.2"/>
    <row r="399" s="23" customFormat="1" ht="15.75" customHeight="1" x14ac:dyDescent="0.2"/>
    <row r="400" s="23" customFormat="1" ht="15.75" customHeight="1" x14ac:dyDescent="0.2"/>
    <row r="401" s="23" customFormat="1" ht="15.75" customHeight="1" x14ac:dyDescent="0.2"/>
    <row r="402" s="23" customFormat="1" ht="15.75" customHeight="1" x14ac:dyDescent="0.2"/>
    <row r="403" s="23" customFormat="1" ht="15.75" customHeight="1" x14ac:dyDescent="0.2"/>
    <row r="404" s="23" customFormat="1" ht="15.75" customHeight="1" x14ac:dyDescent="0.2"/>
    <row r="405" s="23" customFormat="1" ht="15.75" customHeight="1" x14ac:dyDescent="0.2"/>
    <row r="406" s="23" customFormat="1" ht="15.75" customHeight="1" x14ac:dyDescent="0.2"/>
    <row r="407" s="23" customFormat="1" ht="15.75" customHeight="1" x14ac:dyDescent="0.2"/>
    <row r="408" s="23" customFormat="1" ht="15.75" customHeight="1" x14ac:dyDescent="0.2"/>
    <row r="409" s="23" customFormat="1" ht="15.75" customHeight="1" x14ac:dyDescent="0.2"/>
    <row r="410" s="23" customFormat="1" ht="15.75" customHeight="1" x14ac:dyDescent="0.2"/>
    <row r="411" s="23" customFormat="1" ht="15.75" customHeight="1" x14ac:dyDescent="0.2"/>
    <row r="412" s="23" customFormat="1" ht="15.75" customHeight="1" x14ac:dyDescent="0.2"/>
    <row r="413" s="23" customFormat="1" ht="15.75" customHeight="1" x14ac:dyDescent="0.2"/>
    <row r="414" s="23" customFormat="1" ht="15.75" customHeight="1" x14ac:dyDescent="0.2"/>
    <row r="415" s="23" customFormat="1" ht="15.75" customHeight="1" x14ac:dyDescent="0.2"/>
    <row r="416" s="23" customFormat="1" ht="15.75" customHeight="1" x14ac:dyDescent="0.2"/>
    <row r="417" s="23" customFormat="1" ht="15.75" customHeight="1" x14ac:dyDescent="0.2"/>
    <row r="418" s="23" customFormat="1" ht="15.75" customHeight="1" x14ac:dyDescent="0.2"/>
    <row r="419" s="23" customFormat="1" ht="15.75" customHeight="1" x14ac:dyDescent="0.2"/>
    <row r="420" s="23" customFormat="1" ht="15.75" customHeight="1" x14ac:dyDescent="0.2"/>
    <row r="421" s="23" customFormat="1" ht="15.75" customHeight="1" x14ac:dyDescent="0.2"/>
    <row r="422" s="23" customFormat="1" ht="15.75" customHeight="1" x14ac:dyDescent="0.2"/>
    <row r="423" s="23" customFormat="1" ht="15.75" customHeight="1" x14ac:dyDescent="0.2"/>
    <row r="424" s="23" customFormat="1" ht="15.75" customHeight="1" x14ac:dyDescent="0.2"/>
    <row r="425" s="23" customFormat="1" ht="15.75" customHeight="1" x14ac:dyDescent="0.2"/>
    <row r="426" s="23" customFormat="1" ht="15.75" customHeight="1" x14ac:dyDescent="0.2"/>
    <row r="427" s="23" customFormat="1" ht="15.75" customHeight="1" x14ac:dyDescent="0.2"/>
    <row r="428" s="23" customFormat="1" ht="15.75" customHeight="1" x14ac:dyDescent="0.2"/>
    <row r="429" s="23" customFormat="1" ht="15.75" customHeight="1" x14ac:dyDescent="0.2"/>
    <row r="430" s="23" customFormat="1" ht="15.75" customHeight="1" x14ac:dyDescent="0.2"/>
    <row r="431" s="23" customFormat="1" ht="15.75" customHeight="1" x14ac:dyDescent="0.2"/>
    <row r="432" s="23" customFormat="1" ht="15.75" customHeight="1" x14ac:dyDescent="0.2"/>
    <row r="433" s="23" customFormat="1" ht="15.75" customHeight="1" x14ac:dyDescent="0.2"/>
    <row r="434" s="23" customFormat="1" ht="15.75" customHeight="1" x14ac:dyDescent="0.2"/>
    <row r="435" s="23" customFormat="1" ht="15.75" customHeight="1" x14ac:dyDescent="0.2"/>
    <row r="436" s="23" customFormat="1" ht="15.75" customHeight="1" x14ac:dyDescent="0.2"/>
    <row r="437" s="23" customFormat="1" ht="15.75" customHeight="1" x14ac:dyDescent="0.2"/>
    <row r="438" s="23" customFormat="1" ht="15.75" customHeight="1" x14ac:dyDescent="0.2"/>
    <row r="439" s="23" customFormat="1" ht="15.75" customHeight="1" x14ac:dyDescent="0.2"/>
    <row r="440" s="23" customFormat="1" ht="15.75" customHeight="1" x14ac:dyDescent="0.2"/>
    <row r="441" s="23" customFormat="1" ht="15.75" customHeight="1" x14ac:dyDescent="0.2"/>
    <row r="442" s="23" customFormat="1" ht="15.75" customHeight="1" x14ac:dyDescent="0.2"/>
    <row r="443" s="23" customFormat="1" ht="15.75" customHeight="1" x14ac:dyDescent="0.2"/>
    <row r="444" s="23" customFormat="1" ht="15.75" customHeight="1" x14ac:dyDescent="0.2"/>
    <row r="445" s="23" customFormat="1" ht="15.75" customHeight="1" x14ac:dyDescent="0.2"/>
    <row r="446" s="23" customFormat="1" ht="15.75" customHeight="1" x14ac:dyDescent="0.2"/>
    <row r="447" s="23" customFormat="1" ht="15.75" customHeight="1" x14ac:dyDescent="0.2"/>
    <row r="448" s="23" customFormat="1" ht="15.75" customHeight="1" x14ac:dyDescent="0.2"/>
    <row r="449" s="23" customFormat="1" ht="15.75" customHeight="1" x14ac:dyDescent="0.2"/>
    <row r="450" s="23" customFormat="1" ht="15.75" customHeight="1" x14ac:dyDescent="0.2"/>
    <row r="451" s="23" customFormat="1" ht="15.75" customHeight="1" x14ac:dyDescent="0.2"/>
    <row r="452" s="23" customFormat="1" ht="15.75" customHeight="1" x14ac:dyDescent="0.2"/>
    <row r="453" s="23" customFormat="1" ht="15.75" customHeight="1" x14ac:dyDescent="0.2"/>
    <row r="454" s="23" customFormat="1" ht="15.75" customHeight="1" x14ac:dyDescent="0.2"/>
    <row r="455" s="23" customFormat="1" ht="15.75" customHeight="1" x14ac:dyDescent="0.2"/>
    <row r="456" s="23" customFormat="1" ht="15.75" customHeight="1" x14ac:dyDescent="0.2"/>
    <row r="457" s="23" customFormat="1" ht="15.75" customHeight="1" x14ac:dyDescent="0.2"/>
    <row r="458" s="23" customFormat="1" ht="15.75" customHeight="1" x14ac:dyDescent="0.2"/>
    <row r="459" s="23" customFormat="1" ht="15.75" customHeight="1" x14ac:dyDescent="0.2"/>
    <row r="460" s="23" customFormat="1" ht="15.75" customHeight="1" x14ac:dyDescent="0.2"/>
    <row r="461" s="23" customFormat="1" ht="15.75" customHeight="1" x14ac:dyDescent="0.2"/>
    <row r="462" s="23" customFormat="1" ht="15.75" customHeight="1" x14ac:dyDescent="0.2"/>
    <row r="463" s="23" customFormat="1" ht="15.75" customHeight="1" x14ac:dyDescent="0.2"/>
    <row r="464" s="23" customFormat="1" ht="15.75" customHeight="1" x14ac:dyDescent="0.2"/>
    <row r="465" s="23" customFormat="1" ht="15.75" customHeight="1" x14ac:dyDescent="0.2"/>
    <row r="466" s="23" customFormat="1" ht="15.75" customHeight="1" x14ac:dyDescent="0.2"/>
    <row r="467" s="23" customFormat="1" ht="15.75" customHeight="1" x14ac:dyDescent="0.2"/>
    <row r="468" s="23" customFormat="1" ht="15.75" customHeight="1" x14ac:dyDescent="0.2"/>
    <row r="469" s="23" customFormat="1" ht="15.75" customHeight="1" x14ac:dyDescent="0.2"/>
    <row r="470" s="23" customFormat="1" ht="15.75" customHeight="1" x14ac:dyDescent="0.2"/>
    <row r="471" s="23" customFormat="1" ht="15.75" customHeight="1" x14ac:dyDescent="0.2"/>
    <row r="472" s="23" customFormat="1" ht="15.75" customHeight="1" x14ac:dyDescent="0.2"/>
    <row r="473" s="23" customFormat="1" ht="15.75" customHeight="1" x14ac:dyDescent="0.2"/>
    <row r="474" s="23" customFormat="1" ht="15.75" customHeight="1" x14ac:dyDescent="0.2"/>
    <row r="475" s="23" customFormat="1" ht="15.75" customHeight="1" x14ac:dyDescent="0.2"/>
    <row r="476" s="23" customFormat="1" ht="15.75" customHeight="1" x14ac:dyDescent="0.2"/>
    <row r="477" s="23" customFormat="1" ht="15.75" customHeight="1" x14ac:dyDescent="0.2"/>
    <row r="478" s="23" customFormat="1" ht="15.75" customHeight="1" x14ac:dyDescent="0.2"/>
    <row r="479" s="23" customFormat="1" ht="15.75" customHeight="1" x14ac:dyDescent="0.2"/>
    <row r="480" s="23" customFormat="1" ht="15.75" customHeight="1" x14ac:dyDescent="0.2"/>
    <row r="481" s="23" customFormat="1" ht="15.75" customHeight="1" x14ac:dyDescent="0.2"/>
    <row r="482" s="23" customFormat="1" ht="15.75" customHeight="1" x14ac:dyDescent="0.2"/>
    <row r="483" s="23" customFormat="1" ht="15.75" customHeight="1" x14ac:dyDescent="0.2"/>
    <row r="484" s="23" customFormat="1" ht="15.75" customHeight="1" x14ac:dyDescent="0.2"/>
    <row r="485" s="23" customFormat="1" ht="15.75" customHeight="1" x14ac:dyDescent="0.2"/>
    <row r="486" s="23" customFormat="1" ht="15.75" customHeight="1" x14ac:dyDescent="0.2"/>
    <row r="487" s="23" customFormat="1" ht="15.75" customHeight="1" x14ac:dyDescent="0.2"/>
    <row r="488" s="23" customFormat="1" ht="15.75" customHeight="1" x14ac:dyDescent="0.2"/>
    <row r="489" s="23" customFormat="1" ht="15.75" customHeight="1" x14ac:dyDescent="0.2"/>
    <row r="490" s="23" customFormat="1" ht="15.75" customHeight="1" x14ac:dyDescent="0.2"/>
    <row r="491" s="23" customFormat="1" ht="15.75" customHeight="1" x14ac:dyDescent="0.2"/>
    <row r="492" s="23" customFormat="1" ht="15.75" customHeight="1" x14ac:dyDescent="0.2"/>
    <row r="493" s="23" customFormat="1" ht="15.75" customHeight="1" x14ac:dyDescent="0.2"/>
    <row r="494" s="23" customFormat="1" ht="15.75" customHeight="1" x14ac:dyDescent="0.2"/>
    <row r="495" s="23" customFormat="1" ht="15.75" customHeight="1" x14ac:dyDescent="0.2"/>
    <row r="496" s="23" customFormat="1" ht="15.75" customHeight="1" x14ac:dyDescent="0.2"/>
    <row r="497" s="23" customFormat="1" ht="15.75" customHeight="1" x14ac:dyDescent="0.2"/>
    <row r="498" s="23" customFormat="1" ht="15.75" customHeight="1" x14ac:dyDescent="0.2"/>
    <row r="499" s="23" customFormat="1" ht="15.75" customHeight="1" x14ac:dyDescent="0.2"/>
    <row r="500" s="23" customFormat="1" ht="15.75" customHeight="1" x14ac:dyDescent="0.2"/>
    <row r="501" s="23" customFormat="1" ht="15.75" customHeight="1" x14ac:dyDescent="0.2"/>
    <row r="502" s="23" customFormat="1" ht="15.75" customHeight="1" x14ac:dyDescent="0.2"/>
    <row r="503" s="23" customFormat="1" ht="15.75" customHeight="1" x14ac:dyDescent="0.2"/>
    <row r="504" s="23" customFormat="1" ht="15.75" customHeight="1" x14ac:dyDescent="0.2"/>
    <row r="505" s="23" customFormat="1" ht="15.75" customHeight="1" x14ac:dyDescent="0.2"/>
    <row r="506" s="23" customFormat="1" ht="15.75" customHeight="1" x14ac:dyDescent="0.2"/>
    <row r="507" s="23" customFormat="1" ht="15.75" customHeight="1" x14ac:dyDescent="0.2"/>
    <row r="508" s="23" customFormat="1" ht="15.75" customHeight="1" x14ac:dyDescent="0.2"/>
    <row r="509" s="23" customFormat="1" ht="15.75" customHeight="1" x14ac:dyDescent="0.2"/>
    <row r="510" s="23" customFormat="1" ht="15.75" customHeight="1" x14ac:dyDescent="0.2"/>
    <row r="511" s="23" customFormat="1" ht="15.75" customHeight="1" x14ac:dyDescent="0.2"/>
    <row r="512" s="23" customFormat="1" ht="15.75" customHeight="1" x14ac:dyDescent="0.2"/>
    <row r="513" s="23" customFormat="1" ht="15.75" customHeight="1" x14ac:dyDescent="0.2"/>
    <row r="514" s="23" customFormat="1" ht="15.75" customHeight="1" x14ac:dyDescent="0.2"/>
    <row r="515" s="23" customFormat="1" ht="15.75" customHeight="1" x14ac:dyDescent="0.2"/>
    <row r="516" s="23" customFormat="1" ht="15.75" customHeight="1" x14ac:dyDescent="0.2"/>
    <row r="517" s="23" customFormat="1" ht="15.75" customHeight="1" x14ac:dyDescent="0.2"/>
    <row r="518" s="23" customFormat="1" ht="15.75" customHeight="1" x14ac:dyDescent="0.2"/>
    <row r="519" s="23" customFormat="1" ht="15.75" customHeight="1" x14ac:dyDescent="0.2"/>
    <row r="520" s="23" customFormat="1" ht="15.75" customHeight="1" x14ac:dyDescent="0.2"/>
    <row r="521" s="23" customFormat="1" ht="15.75" customHeight="1" x14ac:dyDescent="0.2"/>
    <row r="522" s="23" customFormat="1" ht="15.75" customHeight="1" x14ac:dyDescent="0.2"/>
    <row r="523" s="23" customFormat="1" ht="15.75" customHeight="1" x14ac:dyDescent="0.2"/>
    <row r="524" s="23" customFormat="1" ht="15.75" customHeight="1" x14ac:dyDescent="0.2"/>
    <row r="525" s="23" customFormat="1" ht="15.75" customHeight="1" x14ac:dyDescent="0.2"/>
    <row r="526" s="23" customFormat="1" ht="15.75" customHeight="1" x14ac:dyDescent="0.2"/>
    <row r="527" s="23" customFormat="1" ht="15.75" customHeight="1" x14ac:dyDescent="0.2"/>
    <row r="528" s="23" customFormat="1" ht="15.75" customHeight="1" x14ac:dyDescent="0.2"/>
    <row r="529" s="23" customFormat="1" ht="15.75" customHeight="1" x14ac:dyDescent="0.2"/>
    <row r="530" s="23" customFormat="1" ht="15.75" customHeight="1" x14ac:dyDescent="0.2"/>
    <row r="531" s="23" customFormat="1" ht="15.75" customHeight="1" x14ac:dyDescent="0.2"/>
    <row r="532" s="23" customFormat="1" ht="15.75" customHeight="1" x14ac:dyDescent="0.2"/>
    <row r="533" s="23" customFormat="1" ht="15.75" customHeight="1" x14ac:dyDescent="0.2"/>
    <row r="534" s="23" customFormat="1" ht="15.75" customHeight="1" x14ac:dyDescent="0.2"/>
    <row r="535" s="23" customFormat="1" ht="15.75" customHeight="1" x14ac:dyDescent="0.2"/>
    <row r="536" s="23" customFormat="1" ht="15.75" customHeight="1" x14ac:dyDescent="0.2"/>
    <row r="537" s="23" customFormat="1" ht="15.75" customHeight="1" x14ac:dyDescent="0.2"/>
    <row r="538" s="23" customFormat="1" ht="15.75" customHeight="1" x14ac:dyDescent="0.2"/>
    <row r="539" s="23" customFormat="1" ht="15.75" customHeight="1" x14ac:dyDescent="0.2"/>
    <row r="540" s="23" customFormat="1" ht="15.75" customHeight="1" x14ac:dyDescent="0.2"/>
    <row r="541" s="23" customFormat="1" ht="15.75" customHeight="1" x14ac:dyDescent="0.2"/>
    <row r="542" s="23" customFormat="1" ht="15.75" customHeight="1" x14ac:dyDescent="0.2"/>
    <row r="543" s="23" customFormat="1" ht="15.75" customHeight="1" x14ac:dyDescent="0.2"/>
    <row r="544" s="23" customFormat="1" ht="15.75" customHeight="1" x14ac:dyDescent="0.2"/>
    <row r="545" s="23" customFormat="1" ht="15.75" customHeight="1" x14ac:dyDescent="0.2"/>
    <row r="546" s="23" customFormat="1" ht="15.75" customHeight="1" x14ac:dyDescent="0.2"/>
    <row r="547" s="23" customFormat="1" ht="15.75" customHeight="1" x14ac:dyDescent="0.2"/>
    <row r="548" s="23" customFormat="1" ht="15.75" customHeight="1" x14ac:dyDescent="0.2"/>
    <row r="549" s="23" customFormat="1" ht="15.75" customHeight="1" x14ac:dyDescent="0.2"/>
    <row r="550" s="23" customFormat="1" ht="15.75" customHeight="1" x14ac:dyDescent="0.2"/>
    <row r="551" s="23" customFormat="1" ht="15.75" customHeight="1" x14ac:dyDescent="0.2"/>
    <row r="552" s="23" customFormat="1" ht="15.75" customHeight="1" x14ac:dyDescent="0.2"/>
    <row r="553" s="23" customFormat="1" ht="15.75" customHeight="1" x14ac:dyDescent="0.2"/>
    <row r="554" s="23" customFormat="1" ht="15.75" customHeight="1" x14ac:dyDescent="0.2"/>
    <row r="555" s="23" customFormat="1" ht="15.75" customHeight="1" x14ac:dyDescent="0.2"/>
    <row r="556" s="23" customFormat="1" ht="15.75" customHeight="1" x14ac:dyDescent="0.2"/>
    <row r="557" s="23" customFormat="1" ht="15.75" customHeight="1" x14ac:dyDescent="0.2"/>
    <row r="558" s="23" customFormat="1" ht="15.75" customHeight="1" x14ac:dyDescent="0.2"/>
    <row r="559" s="23" customFormat="1" ht="15.75" customHeight="1" x14ac:dyDescent="0.2"/>
    <row r="560" s="23" customFormat="1" ht="15.75" customHeight="1" x14ac:dyDescent="0.2"/>
    <row r="561" s="23" customFormat="1" ht="15.75" customHeight="1" x14ac:dyDescent="0.2"/>
    <row r="562" s="23" customFormat="1" ht="15.75" customHeight="1" x14ac:dyDescent="0.2"/>
    <row r="563" s="23" customFormat="1" ht="15.75" customHeight="1" x14ac:dyDescent="0.2"/>
    <row r="564" s="23" customFormat="1" ht="15.75" customHeight="1" x14ac:dyDescent="0.2"/>
    <row r="565" s="23" customFormat="1" ht="15.75" customHeight="1" x14ac:dyDescent="0.2"/>
    <row r="566" s="23" customFormat="1" ht="15.75" customHeight="1" x14ac:dyDescent="0.2"/>
    <row r="567" s="23" customFormat="1" ht="15.75" customHeight="1" x14ac:dyDescent="0.2"/>
    <row r="568" s="23" customFormat="1" ht="15.75" customHeight="1" x14ac:dyDescent="0.2"/>
    <row r="569" s="23" customFormat="1" ht="15.75" customHeight="1" x14ac:dyDescent="0.2"/>
    <row r="570" s="23" customFormat="1" ht="15.75" customHeight="1" x14ac:dyDescent="0.2"/>
    <row r="571" s="23" customFormat="1" ht="15.75" customHeight="1" x14ac:dyDescent="0.2"/>
    <row r="572" s="23" customFormat="1" ht="15.75" customHeight="1" x14ac:dyDescent="0.2"/>
    <row r="573" s="23" customFormat="1" ht="15.75" customHeight="1" x14ac:dyDescent="0.2"/>
    <row r="574" s="23" customFormat="1" ht="15.75" customHeight="1" x14ac:dyDescent="0.2"/>
    <row r="575" s="23" customFormat="1" ht="15.75" customHeight="1" x14ac:dyDescent="0.2"/>
    <row r="576" s="23" customFormat="1" ht="15.75" customHeight="1" x14ac:dyDescent="0.2"/>
    <row r="577" s="23" customFormat="1" ht="15.75" customHeight="1" x14ac:dyDescent="0.2"/>
    <row r="578" s="23" customFormat="1" ht="15.75" customHeight="1" x14ac:dyDescent="0.2"/>
    <row r="579" s="23" customFormat="1" ht="15.75" customHeight="1" x14ac:dyDescent="0.2"/>
    <row r="580" s="23" customFormat="1" ht="15.75" customHeight="1" x14ac:dyDescent="0.2"/>
    <row r="581" s="23" customFormat="1" ht="15.75" customHeight="1" x14ac:dyDescent="0.2"/>
    <row r="582" s="23" customFormat="1" ht="15.75" customHeight="1" x14ac:dyDescent="0.2"/>
    <row r="583" s="23" customFormat="1" ht="15.75" customHeight="1" x14ac:dyDescent="0.2"/>
    <row r="584" s="23" customFormat="1" ht="15.75" customHeight="1" x14ac:dyDescent="0.2"/>
    <row r="585" s="23" customFormat="1" ht="15.75" customHeight="1" x14ac:dyDescent="0.2"/>
    <row r="586" s="23" customFormat="1" ht="15.75" customHeight="1" x14ac:dyDescent="0.2"/>
    <row r="587" s="23" customFormat="1" ht="15.75" customHeight="1" x14ac:dyDescent="0.2"/>
    <row r="588" s="23" customFormat="1" ht="15.75" customHeight="1" x14ac:dyDescent="0.2"/>
    <row r="589" s="23" customFormat="1" ht="15.75" customHeight="1" x14ac:dyDescent="0.2"/>
    <row r="590" s="23" customFormat="1" ht="15.75" customHeight="1" x14ac:dyDescent="0.2"/>
    <row r="591" s="23" customFormat="1" ht="15.75" customHeight="1" x14ac:dyDescent="0.2"/>
    <row r="592" s="23" customFormat="1" ht="15.75" customHeight="1" x14ac:dyDescent="0.2"/>
    <row r="593" s="23" customFormat="1" ht="15.75" customHeight="1" x14ac:dyDescent="0.2"/>
    <row r="594" s="23" customFormat="1" ht="15.75" customHeight="1" x14ac:dyDescent="0.2"/>
    <row r="595" s="23" customFormat="1" ht="15.75" customHeight="1" x14ac:dyDescent="0.2"/>
    <row r="596" s="23" customFormat="1" ht="15.75" customHeight="1" x14ac:dyDescent="0.2"/>
    <row r="597" s="23" customFormat="1" ht="15.75" customHeight="1" x14ac:dyDescent="0.2"/>
    <row r="598" s="23" customFormat="1" ht="15.75" customHeight="1" x14ac:dyDescent="0.2"/>
    <row r="599" s="23" customFormat="1" ht="15.75" customHeight="1" x14ac:dyDescent="0.2"/>
    <row r="600" s="23" customFormat="1" ht="15.75" customHeight="1" x14ac:dyDescent="0.2"/>
    <row r="601" s="23" customFormat="1" ht="15.75" customHeight="1" x14ac:dyDescent="0.2"/>
    <row r="602" s="23" customFormat="1" ht="15.75" customHeight="1" x14ac:dyDescent="0.2"/>
    <row r="603" s="23" customFormat="1" ht="15.75" customHeight="1" x14ac:dyDescent="0.2"/>
    <row r="604" s="23" customFormat="1" ht="15.75" customHeight="1" x14ac:dyDescent="0.2"/>
    <row r="605" s="23" customFormat="1" ht="15.75" customHeight="1" x14ac:dyDescent="0.2"/>
    <row r="606" s="23" customFormat="1" ht="15.75" customHeight="1" x14ac:dyDescent="0.2"/>
    <row r="607" s="23" customFormat="1" ht="15.75" customHeight="1" x14ac:dyDescent="0.2"/>
    <row r="608" s="23" customFormat="1" ht="15.75" customHeight="1" x14ac:dyDescent="0.2"/>
    <row r="609" s="23" customFormat="1" ht="15.75" customHeight="1" x14ac:dyDescent="0.2"/>
    <row r="610" s="23" customFormat="1" ht="15.75" customHeight="1" x14ac:dyDescent="0.2"/>
    <row r="611" s="23" customFormat="1" ht="15.75" customHeight="1" x14ac:dyDescent="0.2"/>
    <row r="612" s="23" customFormat="1" ht="15.75" customHeight="1" x14ac:dyDescent="0.2"/>
    <row r="613" s="23" customFormat="1" ht="15.75" customHeight="1" x14ac:dyDescent="0.2"/>
    <row r="614" s="23" customFormat="1" ht="15.75" customHeight="1" x14ac:dyDescent="0.2"/>
    <row r="615" s="23" customFormat="1" ht="15.75" customHeight="1" x14ac:dyDescent="0.2"/>
    <row r="616" s="23" customFormat="1" ht="15.75" customHeight="1" x14ac:dyDescent="0.2"/>
    <row r="617" s="23" customFormat="1" ht="15.75" customHeight="1" x14ac:dyDescent="0.2"/>
    <row r="618" s="23" customFormat="1" ht="15.75" customHeight="1" x14ac:dyDescent="0.2"/>
    <row r="619" s="23" customFormat="1" ht="15.75" customHeight="1" x14ac:dyDescent="0.2"/>
    <row r="620" s="23" customFormat="1" ht="15.75" customHeight="1" x14ac:dyDescent="0.2"/>
    <row r="621" s="23" customFormat="1" ht="15.75" customHeight="1" x14ac:dyDescent="0.2"/>
    <row r="622" s="23" customFormat="1" ht="15.75" customHeight="1" x14ac:dyDescent="0.2"/>
    <row r="623" s="23" customFormat="1" ht="15.75" customHeight="1" x14ac:dyDescent="0.2"/>
    <row r="624" s="23" customFormat="1" ht="15.75" customHeight="1" x14ac:dyDescent="0.2"/>
    <row r="625" s="23" customFormat="1" ht="15.75" customHeight="1" x14ac:dyDescent="0.2"/>
    <row r="626" s="23" customFormat="1" ht="15.75" customHeight="1" x14ac:dyDescent="0.2"/>
    <row r="627" s="23" customFormat="1" ht="15.75" customHeight="1" x14ac:dyDescent="0.2"/>
    <row r="628" s="23" customFormat="1" ht="15.75" customHeight="1" x14ac:dyDescent="0.2"/>
    <row r="629" s="23" customFormat="1" ht="15.75" customHeight="1" x14ac:dyDescent="0.2"/>
    <row r="630" s="23" customFormat="1" ht="15.75" customHeight="1" x14ac:dyDescent="0.2"/>
    <row r="631" s="23" customFormat="1" ht="15.75" customHeight="1" x14ac:dyDescent="0.2"/>
    <row r="632" s="23" customFormat="1" ht="15.75" customHeight="1" x14ac:dyDescent="0.2"/>
    <row r="633" s="23" customFormat="1" ht="15.75" customHeight="1" x14ac:dyDescent="0.2"/>
    <row r="634" s="23" customFormat="1" ht="15.75" customHeight="1" x14ac:dyDescent="0.2"/>
    <row r="635" s="23" customFormat="1" ht="15.75" customHeight="1" x14ac:dyDescent="0.2"/>
    <row r="636" s="23" customFormat="1" ht="15.75" customHeight="1" x14ac:dyDescent="0.2"/>
    <row r="637" s="23" customFormat="1" ht="15.75" customHeight="1" x14ac:dyDescent="0.2"/>
    <row r="638" s="23" customFormat="1" ht="15.75" customHeight="1" x14ac:dyDescent="0.2"/>
    <row r="639" s="23" customFormat="1" ht="15.75" customHeight="1" x14ac:dyDescent="0.2"/>
    <row r="640" s="23" customFormat="1" ht="15.75" customHeight="1" x14ac:dyDescent="0.2"/>
    <row r="641" s="23" customFormat="1" ht="15.75" customHeight="1" x14ac:dyDescent="0.2"/>
    <row r="642" s="23" customFormat="1" ht="15.75" customHeight="1" x14ac:dyDescent="0.2"/>
    <row r="643" s="23" customFormat="1" ht="15.75" customHeight="1" x14ac:dyDescent="0.2"/>
    <row r="644" s="23" customFormat="1" ht="15.75" customHeight="1" x14ac:dyDescent="0.2"/>
    <row r="645" s="23" customFormat="1" ht="15.75" customHeight="1" x14ac:dyDescent="0.2"/>
    <row r="646" s="23" customFormat="1" ht="15.75" customHeight="1" x14ac:dyDescent="0.2"/>
    <row r="647" s="23" customFormat="1" ht="15.75" customHeight="1" x14ac:dyDescent="0.2"/>
    <row r="648" s="23" customFormat="1" ht="15.75" customHeight="1" x14ac:dyDescent="0.2"/>
    <row r="649" s="23" customFormat="1" ht="15.75" customHeight="1" x14ac:dyDescent="0.2"/>
    <row r="650" s="23" customFormat="1" ht="15.75" customHeight="1" x14ac:dyDescent="0.2"/>
    <row r="651" s="23" customFormat="1" ht="15.75" customHeight="1" x14ac:dyDescent="0.2"/>
    <row r="652" s="23" customFormat="1" ht="15.75" customHeight="1" x14ac:dyDescent="0.2"/>
    <row r="653" s="23" customFormat="1" ht="15.75" customHeight="1" x14ac:dyDescent="0.2"/>
    <row r="654" s="23" customFormat="1" ht="15.75" customHeight="1" x14ac:dyDescent="0.2"/>
    <row r="655" s="23" customFormat="1" ht="15.75" customHeight="1" x14ac:dyDescent="0.2"/>
    <row r="656" s="23" customFormat="1" ht="15.75" customHeight="1" x14ac:dyDescent="0.2"/>
    <row r="657" s="23" customFormat="1" ht="15.75" customHeight="1" x14ac:dyDescent="0.2"/>
    <row r="658" s="23" customFormat="1" ht="15.75" customHeight="1" x14ac:dyDescent="0.2"/>
    <row r="659" s="23" customFormat="1" ht="15.75" customHeight="1" x14ac:dyDescent="0.2"/>
    <row r="660" s="23" customFormat="1" ht="15.75" customHeight="1" x14ac:dyDescent="0.2"/>
    <row r="661" s="23" customFormat="1" ht="15.75" customHeight="1" x14ac:dyDescent="0.2"/>
    <row r="662" s="23" customFormat="1" ht="15.75" customHeight="1" x14ac:dyDescent="0.2"/>
    <row r="663" s="23" customFormat="1" ht="15.75" customHeight="1" x14ac:dyDescent="0.2"/>
    <row r="664" s="23" customFormat="1" ht="15.75" customHeight="1" x14ac:dyDescent="0.2"/>
    <row r="665" s="23" customFormat="1" ht="15.75" customHeight="1" x14ac:dyDescent="0.2"/>
    <row r="666" s="23" customFormat="1" ht="15.75" customHeight="1" x14ac:dyDescent="0.2"/>
    <row r="667" s="23" customFormat="1" ht="15.75" customHeight="1" x14ac:dyDescent="0.2"/>
    <row r="668" s="23" customFormat="1" ht="15.75" customHeight="1" x14ac:dyDescent="0.2"/>
    <row r="669" s="23" customFormat="1" ht="15.75" customHeight="1" x14ac:dyDescent="0.2"/>
    <row r="670" s="23" customFormat="1" ht="15.75" customHeight="1" x14ac:dyDescent="0.2"/>
    <row r="671" s="23" customFormat="1" ht="15.75" customHeight="1" x14ac:dyDescent="0.2"/>
    <row r="672" s="23" customFormat="1" ht="15.75" customHeight="1" x14ac:dyDescent="0.2"/>
    <row r="673" s="23" customFormat="1" ht="15.75" customHeight="1" x14ac:dyDescent="0.2"/>
    <row r="674" s="23" customFormat="1" ht="15.75" customHeight="1" x14ac:dyDescent="0.2"/>
    <row r="675" s="23" customFormat="1" ht="15.75" customHeight="1" x14ac:dyDescent="0.2"/>
    <row r="676" s="23" customFormat="1" ht="15.75" customHeight="1" x14ac:dyDescent="0.2"/>
    <row r="677" s="23" customFormat="1" ht="15.75" customHeight="1" x14ac:dyDescent="0.2"/>
    <row r="678" s="23" customFormat="1" ht="15.75" customHeight="1" x14ac:dyDescent="0.2"/>
    <row r="679" s="23" customFormat="1" ht="15.75" customHeight="1" x14ac:dyDescent="0.2"/>
    <row r="680" s="23" customFormat="1" ht="15.75" customHeight="1" x14ac:dyDescent="0.2"/>
    <row r="681" s="23" customFormat="1" ht="15.75" customHeight="1" x14ac:dyDescent="0.2"/>
    <row r="682" s="23" customFormat="1" ht="15.75" customHeight="1" x14ac:dyDescent="0.2"/>
    <row r="683" s="23" customFormat="1" ht="15.75" customHeight="1" x14ac:dyDescent="0.2"/>
    <row r="684" s="23" customFormat="1" ht="15.75" customHeight="1" x14ac:dyDescent="0.2"/>
    <row r="685" s="23" customFormat="1" ht="15.75" customHeight="1" x14ac:dyDescent="0.2"/>
    <row r="686" s="23" customFormat="1" ht="15.75" customHeight="1" x14ac:dyDescent="0.2"/>
    <row r="687" s="23" customFormat="1" ht="15.75" customHeight="1" x14ac:dyDescent="0.2"/>
    <row r="688" s="23" customFormat="1" ht="15.75" customHeight="1" x14ac:dyDescent="0.2"/>
    <row r="689" s="23" customFormat="1" ht="15.75" customHeight="1" x14ac:dyDescent="0.2"/>
    <row r="690" s="23" customFormat="1" ht="15.75" customHeight="1" x14ac:dyDescent="0.2"/>
    <row r="691" s="23" customFormat="1" ht="15.75" customHeight="1" x14ac:dyDescent="0.2"/>
    <row r="692" s="23" customFormat="1" ht="15.75" customHeight="1" x14ac:dyDescent="0.2"/>
    <row r="693" s="23" customFormat="1" ht="15.75" customHeight="1" x14ac:dyDescent="0.2"/>
    <row r="694" s="23" customFormat="1" ht="15.75" customHeight="1" x14ac:dyDescent="0.2"/>
    <row r="695" s="23" customFormat="1" ht="15.75" customHeight="1" x14ac:dyDescent="0.2"/>
    <row r="696" s="23" customFormat="1" ht="15.75" customHeight="1" x14ac:dyDescent="0.2"/>
    <row r="697" s="23" customFormat="1" ht="15.75" customHeight="1" x14ac:dyDescent="0.2"/>
    <row r="698" s="23" customFormat="1" ht="15.75" customHeight="1" x14ac:dyDescent="0.2"/>
    <row r="699" s="23" customFormat="1" ht="15.75" customHeight="1" x14ac:dyDescent="0.2"/>
    <row r="700" s="23" customFormat="1" ht="15.75" customHeight="1" x14ac:dyDescent="0.2"/>
    <row r="701" s="23" customFormat="1" ht="15.75" customHeight="1" x14ac:dyDescent="0.2"/>
    <row r="702" s="23" customFormat="1" ht="15.75" customHeight="1" x14ac:dyDescent="0.2"/>
    <row r="703" s="23" customFormat="1" ht="15.75" customHeight="1" x14ac:dyDescent="0.2"/>
    <row r="704" s="23" customFormat="1" ht="15.75" customHeight="1" x14ac:dyDescent="0.2"/>
    <row r="705" s="23" customFormat="1" ht="15.75" customHeight="1" x14ac:dyDescent="0.2"/>
    <row r="706" s="23" customFormat="1" ht="15.75" customHeight="1" x14ac:dyDescent="0.2"/>
    <row r="707" s="23" customFormat="1" ht="15.75" customHeight="1" x14ac:dyDescent="0.2"/>
    <row r="708" s="23" customFormat="1" ht="15.75" customHeight="1" x14ac:dyDescent="0.2"/>
    <row r="709" s="23" customFormat="1" ht="15.75" customHeight="1" x14ac:dyDescent="0.2"/>
    <row r="710" s="23" customFormat="1" ht="15.75" customHeight="1" x14ac:dyDescent="0.2"/>
    <row r="711" s="23" customFormat="1" ht="15.75" customHeight="1" x14ac:dyDescent="0.2"/>
    <row r="712" s="23" customFormat="1" ht="15.75" customHeight="1" x14ac:dyDescent="0.2"/>
    <row r="713" s="23" customFormat="1" ht="15.75" customHeight="1" x14ac:dyDescent="0.2"/>
    <row r="714" s="23" customFormat="1" ht="15.75" customHeight="1" x14ac:dyDescent="0.2"/>
    <row r="715" s="23" customFormat="1" ht="15.75" customHeight="1" x14ac:dyDescent="0.2"/>
    <row r="716" s="23" customFormat="1" ht="15.75" customHeight="1" x14ac:dyDescent="0.2"/>
    <row r="717" s="23" customFormat="1" ht="15.75" customHeight="1" x14ac:dyDescent="0.2"/>
    <row r="718" s="23" customFormat="1" ht="15.75" customHeight="1" x14ac:dyDescent="0.2"/>
    <row r="719" s="23" customFormat="1" ht="15.75" customHeight="1" x14ac:dyDescent="0.2"/>
    <row r="720" s="23" customFormat="1" ht="15.75" customHeight="1" x14ac:dyDescent="0.2"/>
    <row r="721" s="23" customFormat="1" ht="15.75" customHeight="1" x14ac:dyDescent="0.2"/>
    <row r="722" s="23" customFormat="1" ht="15.75" customHeight="1" x14ac:dyDescent="0.2"/>
    <row r="723" s="23" customFormat="1" ht="15.75" customHeight="1" x14ac:dyDescent="0.2"/>
    <row r="724" s="23" customFormat="1" ht="15.75" customHeight="1" x14ac:dyDescent="0.2"/>
    <row r="725" s="23" customFormat="1" ht="15.75" customHeight="1" x14ac:dyDescent="0.2"/>
    <row r="726" s="23" customFormat="1" ht="15.75" customHeight="1" x14ac:dyDescent="0.2"/>
    <row r="727" s="23" customFormat="1" ht="15.75" customHeight="1" x14ac:dyDescent="0.2"/>
    <row r="728" s="23" customFormat="1" ht="15.75" customHeight="1" x14ac:dyDescent="0.2"/>
    <row r="729" s="23" customFormat="1" ht="15.75" customHeight="1" x14ac:dyDescent="0.2"/>
    <row r="730" s="23" customFormat="1" ht="15.75" customHeight="1" x14ac:dyDescent="0.2"/>
    <row r="731" s="23" customFormat="1" ht="15.75" customHeight="1" x14ac:dyDescent="0.2"/>
    <row r="732" s="23" customFormat="1" ht="15.75" customHeight="1" x14ac:dyDescent="0.2"/>
    <row r="733" s="23" customFormat="1" ht="15.75" customHeight="1" x14ac:dyDescent="0.2"/>
    <row r="734" s="23" customFormat="1" ht="15.75" customHeight="1" x14ac:dyDescent="0.2"/>
    <row r="735" s="23" customFormat="1" ht="15.75" customHeight="1" x14ac:dyDescent="0.2"/>
    <row r="736" s="23" customFormat="1" ht="15.75" customHeight="1" x14ac:dyDescent="0.2"/>
    <row r="737" s="23" customFormat="1" ht="15.75" customHeight="1" x14ac:dyDescent="0.2"/>
    <row r="738" s="23" customFormat="1" ht="15.75" customHeight="1" x14ac:dyDescent="0.2"/>
    <row r="739" s="23" customFormat="1" ht="15.75" customHeight="1" x14ac:dyDescent="0.2"/>
    <row r="740" s="23" customFormat="1" ht="15.75" customHeight="1" x14ac:dyDescent="0.2"/>
    <row r="741" s="23" customFormat="1" ht="15.75" customHeight="1" x14ac:dyDescent="0.2"/>
    <row r="742" s="23" customFormat="1" ht="15.75" customHeight="1" x14ac:dyDescent="0.2"/>
    <row r="743" s="23" customFormat="1" ht="15.75" customHeight="1" x14ac:dyDescent="0.2"/>
    <row r="744" s="23" customFormat="1" ht="15.75" customHeight="1" x14ac:dyDescent="0.2"/>
    <row r="745" s="23" customFormat="1" ht="15.75" customHeight="1" x14ac:dyDescent="0.2"/>
    <row r="746" s="23" customFormat="1" ht="15.75" customHeight="1" x14ac:dyDescent="0.2"/>
    <row r="747" s="23" customFormat="1" ht="15.75" customHeight="1" x14ac:dyDescent="0.2"/>
    <row r="748" s="23" customFormat="1" ht="15.75" customHeight="1" x14ac:dyDescent="0.2"/>
    <row r="749" s="23" customFormat="1" ht="15.75" customHeight="1" x14ac:dyDescent="0.2"/>
    <row r="750" s="23" customFormat="1" ht="15.75" customHeight="1" x14ac:dyDescent="0.2"/>
    <row r="751" s="23" customFormat="1" ht="15.75" customHeight="1" x14ac:dyDescent="0.2"/>
    <row r="752" s="23" customFormat="1" ht="15.75" customHeight="1" x14ac:dyDescent="0.2"/>
    <row r="753" s="23" customFormat="1" ht="15.75" customHeight="1" x14ac:dyDescent="0.2"/>
    <row r="754" s="23" customFormat="1" ht="15.75" customHeight="1" x14ac:dyDescent="0.2"/>
    <row r="755" s="23" customFormat="1" ht="15.75" customHeight="1" x14ac:dyDescent="0.2"/>
    <row r="756" s="23" customFormat="1" ht="15.75" customHeight="1" x14ac:dyDescent="0.2"/>
    <row r="757" s="23" customFormat="1" ht="15.75" customHeight="1" x14ac:dyDescent="0.2"/>
    <row r="758" s="23" customFormat="1" ht="15.75" customHeight="1" x14ac:dyDescent="0.2"/>
    <row r="759" s="23" customFormat="1" ht="15.75" customHeight="1" x14ac:dyDescent="0.2"/>
    <row r="760" s="23" customFormat="1" ht="15.75" customHeight="1" x14ac:dyDescent="0.2"/>
    <row r="761" s="23" customFormat="1" ht="15.75" customHeight="1" x14ac:dyDescent="0.2"/>
    <row r="762" s="23" customFormat="1" ht="15.75" customHeight="1" x14ac:dyDescent="0.2"/>
    <row r="763" s="23" customFormat="1" ht="15.75" customHeight="1" x14ac:dyDescent="0.2"/>
    <row r="764" s="23" customFormat="1" ht="15.75" customHeight="1" x14ac:dyDescent="0.2"/>
    <row r="765" s="23" customFormat="1" ht="15.75" customHeight="1" x14ac:dyDescent="0.2"/>
    <row r="766" s="23" customFormat="1" ht="15.75" customHeight="1" x14ac:dyDescent="0.2"/>
    <row r="767" s="23" customFormat="1" ht="15.75" customHeight="1" x14ac:dyDescent="0.2"/>
    <row r="768" s="23" customFormat="1" ht="15.75" customHeight="1" x14ac:dyDescent="0.2"/>
    <row r="769" s="23" customFormat="1" ht="15.75" customHeight="1" x14ac:dyDescent="0.2"/>
    <row r="770" s="23" customFormat="1" ht="15.75" customHeight="1" x14ac:dyDescent="0.2"/>
    <row r="771" s="23" customFormat="1" ht="15.75" customHeight="1" x14ac:dyDescent="0.2"/>
    <row r="772" s="23" customFormat="1" ht="15.75" customHeight="1" x14ac:dyDescent="0.2"/>
    <row r="773" s="23" customFormat="1" ht="15.75" customHeight="1" x14ac:dyDescent="0.2"/>
    <row r="774" s="23" customFormat="1" ht="15.75" customHeight="1" x14ac:dyDescent="0.2"/>
    <row r="775" s="23" customFormat="1" ht="15.75" customHeight="1" x14ac:dyDescent="0.2"/>
    <row r="776" s="23" customFormat="1" ht="15.75" customHeight="1" x14ac:dyDescent="0.2"/>
    <row r="777" s="23" customFormat="1" ht="15.75" customHeight="1" x14ac:dyDescent="0.2"/>
    <row r="778" s="23" customFormat="1" ht="15.75" customHeight="1" x14ac:dyDescent="0.2"/>
    <row r="779" s="23" customFormat="1" ht="15.75" customHeight="1" x14ac:dyDescent="0.2"/>
    <row r="780" s="23" customFormat="1" ht="15.75" customHeight="1" x14ac:dyDescent="0.2"/>
    <row r="781" s="23" customFormat="1" ht="15.75" customHeight="1" x14ac:dyDescent="0.2"/>
    <row r="782" s="23" customFormat="1" ht="15.75" customHeight="1" x14ac:dyDescent="0.2"/>
    <row r="783" s="23" customFormat="1" ht="15.75" customHeight="1" x14ac:dyDescent="0.2"/>
    <row r="784" s="23" customFormat="1" ht="15.75" customHeight="1" x14ac:dyDescent="0.2"/>
    <row r="785" s="23" customFormat="1" ht="15.75" customHeight="1" x14ac:dyDescent="0.2"/>
    <row r="786" s="23" customFormat="1" ht="15.75" customHeight="1" x14ac:dyDescent="0.2"/>
    <row r="787" s="23" customFormat="1" ht="15.75" customHeight="1" x14ac:dyDescent="0.2"/>
    <row r="788" s="23" customFormat="1" ht="15.75" customHeight="1" x14ac:dyDescent="0.2"/>
    <row r="789" s="23" customFormat="1" ht="15.75" customHeight="1" x14ac:dyDescent="0.2"/>
    <row r="790" s="23" customFormat="1" ht="15.75" customHeight="1" x14ac:dyDescent="0.2"/>
    <row r="791" s="23" customFormat="1" ht="15.75" customHeight="1" x14ac:dyDescent="0.2"/>
    <row r="792" s="23" customFormat="1" ht="15.75" customHeight="1" x14ac:dyDescent="0.2"/>
    <row r="793" s="23" customFormat="1" ht="15.75" customHeight="1" x14ac:dyDescent="0.2"/>
    <row r="794" s="23" customFormat="1" ht="15.75" customHeight="1" x14ac:dyDescent="0.2"/>
    <row r="795" s="23" customFormat="1" ht="15.75" customHeight="1" x14ac:dyDescent="0.2"/>
    <row r="796" s="23" customFormat="1" ht="15.75" customHeight="1" x14ac:dyDescent="0.2"/>
    <row r="797" s="23" customFormat="1" ht="15.75" customHeight="1" x14ac:dyDescent="0.2"/>
    <row r="798" s="23" customFormat="1" ht="15.75" customHeight="1" x14ac:dyDescent="0.2"/>
    <row r="799" s="23" customFormat="1" ht="15.75" customHeight="1" x14ac:dyDescent="0.2"/>
    <row r="800" s="23" customFormat="1" ht="15.75" customHeight="1" x14ac:dyDescent="0.2"/>
    <row r="801" s="23" customFormat="1" ht="15.75" customHeight="1" x14ac:dyDescent="0.2"/>
    <row r="802" s="23" customFormat="1" ht="15.75" customHeight="1" x14ac:dyDescent="0.2"/>
    <row r="803" s="23" customFormat="1" ht="15.75" customHeight="1" x14ac:dyDescent="0.2"/>
    <row r="804" s="23" customFormat="1" ht="15.75" customHeight="1" x14ac:dyDescent="0.2"/>
    <row r="805" s="23" customFormat="1" ht="15.75" customHeight="1" x14ac:dyDescent="0.2"/>
    <row r="806" s="23" customFormat="1" ht="15.75" customHeight="1" x14ac:dyDescent="0.2"/>
    <row r="807" s="23" customFormat="1" ht="15.75" customHeight="1" x14ac:dyDescent="0.2"/>
    <row r="808" s="23" customFormat="1" ht="15.75" customHeight="1" x14ac:dyDescent="0.2"/>
    <row r="809" s="23" customFormat="1" ht="15.75" customHeight="1" x14ac:dyDescent="0.2"/>
    <row r="810" s="23" customFormat="1" ht="15.75" customHeight="1" x14ac:dyDescent="0.2"/>
    <row r="811" s="23" customFormat="1" ht="15.75" customHeight="1" x14ac:dyDescent="0.2"/>
    <row r="812" s="23" customFormat="1" ht="15.75" customHeight="1" x14ac:dyDescent="0.2"/>
    <row r="813" s="23" customFormat="1" ht="15.75" customHeight="1" x14ac:dyDescent="0.2"/>
    <row r="814" s="23" customFormat="1" ht="15.75" customHeight="1" x14ac:dyDescent="0.2"/>
    <row r="815" s="23" customFormat="1" ht="15.75" customHeight="1" x14ac:dyDescent="0.2"/>
    <row r="816" s="23" customFormat="1" ht="15.75" customHeight="1" x14ac:dyDescent="0.2"/>
    <row r="817" s="23" customFormat="1" ht="15.75" customHeight="1" x14ac:dyDescent="0.2"/>
    <row r="818" s="23" customFormat="1" ht="15.75" customHeight="1" x14ac:dyDescent="0.2"/>
    <row r="819" s="23" customFormat="1" ht="15.75" customHeight="1" x14ac:dyDescent="0.2"/>
    <row r="820" s="23" customFormat="1" ht="15.75" customHeight="1" x14ac:dyDescent="0.2"/>
    <row r="821" s="23" customFormat="1" ht="15.75" customHeight="1" x14ac:dyDescent="0.2"/>
    <row r="822" s="23" customFormat="1" ht="15.75" customHeight="1" x14ac:dyDescent="0.2"/>
    <row r="823" s="23" customFormat="1" ht="15.75" customHeight="1" x14ac:dyDescent="0.2"/>
    <row r="824" s="23" customFormat="1" ht="15.75" customHeight="1" x14ac:dyDescent="0.2"/>
    <row r="825" s="23" customFormat="1" ht="15.75" customHeight="1" x14ac:dyDescent="0.2"/>
    <row r="826" s="23" customFormat="1" ht="15.75" customHeight="1" x14ac:dyDescent="0.2"/>
    <row r="827" s="23" customFormat="1" ht="15.75" customHeight="1" x14ac:dyDescent="0.2"/>
    <row r="828" s="23" customFormat="1" ht="15.75" customHeight="1" x14ac:dyDescent="0.2"/>
    <row r="829" s="23" customFormat="1" ht="15.75" customHeight="1" x14ac:dyDescent="0.2"/>
    <row r="830" s="23" customFormat="1" ht="15.75" customHeight="1" x14ac:dyDescent="0.2"/>
    <row r="831" s="23" customFormat="1" ht="15.75" customHeight="1" x14ac:dyDescent="0.2"/>
    <row r="832" s="23" customFormat="1" ht="15.75" customHeight="1" x14ac:dyDescent="0.2"/>
    <row r="833" s="23" customFormat="1" ht="15.75" customHeight="1" x14ac:dyDescent="0.2"/>
    <row r="834" s="23" customFormat="1" ht="15.75" customHeight="1" x14ac:dyDescent="0.2"/>
    <row r="835" s="23" customFormat="1" ht="15.75" customHeight="1" x14ac:dyDescent="0.2"/>
    <row r="836" s="23" customFormat="1" ht="15.75" customHeight="1" x14ac:dyDescent="0.2"/>
    <row r="837" s="23" customFormat="1" ht="15.75" customHeight="1" x14ac:dyDescent="0.2"/>
    <row r="838" s="23" customFormat="1" ht="15.75" customHeight="1" x14ac:dyDescent="0.2"/>
    <row r="839" s="23" customFormat="1" ht="15.75" customHeight="1" x14ac:dyDescent="0.2"/>
    <row r="840" s="23" customFormat="1" ht="15.75" customHeight="1" x14ac:dyDescent="0.2"/>
    <row r="841" s="23" customFormat="1" ht="15.75" customHeight="1" x14ac:dyDescent="0.2"/>
    <row r="842" s="23" customFormat="1" ht="15.75" customHeight="1" x14ac:dyDescent="0.2"/>
    <row r="843" s="23" customFormat="1" ht="15.75" customHeight="1" x14ac:dyDescent="0.2"/>
    <row r="844" s="23" customFormat="1" ht="15.75" customHeight="1" x14ac:dyDescent="0.2"/>
    <row r="845" s="23" customFormat="1" ht="15.75" customHeight="1" x14ac:dyDescent="0.2"/>
    <row r="846" s="23" customFormat="1" ht="15.75" customHeight="1" x14ac:dyDescent="0.2"/>
    <row r="847" s="23" customFormat="1" ht="15.75" customHeight="1" x14ac:dyDescent="0.2"/>
    <row r="848" s="23" customFormat="1" ht="15.75" customHeight="1" x14ac:dyDescent="0.2"/>
    <row r="849" s="23" customFormat="1" ht="15.75" customHeight="1" x14ac:dyDescent="0.2"/>
    <row r="850" s="23" customFormat="1" ht="15.75" customHeight="1" x14ac:dyDescent="0.2"/>
    <row r="851" s="23" customFormat="1" ht="15.75" customHeight="1" x14ac:dyDescent="0.2"/>
    <row r="852" s="23" customFormat="1" ht="15.75" customHeight="1" x14ac:dyDescent="0.2"/>
    <row r="853" s="23" customFormat="1" ht="15.75" customHeight="1" x14ac:dyDescent="0.2"/>
    <row r="854" s="23" customFormat="1" ht="15.75" customHeight="1" x14ac:dyDescent="0.2"/>
    <row r="855" s="23" customFormat="1" ht="15.75" customHeight="1" x14ac:dyDescent="0.2"/>
    <row r="856" s="23" customFormat="1" ht="15.75" customHeight="1" x14ac:dyDescent="0.2"/>
    <row r="857" s="23" customFormat="1" ht="15.75" customHeight="1" x14ac:dyDescent="0.2"/>
    <row r="858" s="23" customFormat="1" ht="15.75" customHeight="1" x14ac:dyDescent="0.2"/>
    <row r="859" s="23" customFormat="1" ht="15.75" customHeight="1" x14ac:dyDescent="0.2"/>
    <row r="860" s="23" customFormat="1" ht="15.75" customHeight="1" x14ac:dyDescent="0.2"/>
    <row r="861" s="23" customFormat="1" ht="15.75" customHeight="1" x14ac:dyDescent="0.2"/>
    <row r="862" s="23" customFormat="1" ht="15.75" customHeight="1" x14ac:dyDescent="0.2"/>
    <row r="863" s="23" customFormat="1" ht="15.75" customHeight="1" x14ac:dyDescent="0.2"/>
    <row r="864" s="23" customFormat="1" ht="15.75" customHeight="1" x14ac:dyDescent="0.2"/>
    <row r="865" s="23" customFormat="1" ht="15.75" customHeight="1" x14ac:dyDescent="0.2"/>
    <row r="866" s="23" customFormat="1" ht="15.75" customHeight="1" x14ac:dyDescent="0.2"/>
    <row r="867" s="23" customFormat="1" ht="15.75" customHeight="1" x14ac:dyDescent="0.2"/>
    <row r="868" s="23" customFormat="1" ht="15.75" customHeight="1" x14ac:dyDescent="0.2"/>
    <row r="869" s="23" customFormat="1" ht="15.75" customHeight="1" x14ac:dyDescent="0.2"/>
    <row r="870" s="23" customFormat="1" ht="15.75" customHeight="1" x14ac:dyDescent="0.2"/>
    <row r="871" s="23" customFormat="1" ht="15.75" customHeight="1" x14ac:dyDescent="0.2"/>
    <row r="872" s="23" customFormat="1" ht="15.75" customHeight="1" x14ac:dyDescent="0.2"/>
    <row r="873" s="23" customFormat="1" ht="15.75" customHeight="1" x14ac:dyDescent="0.2"/>
    <row r="874" s="23" customFormat="1" ht="15.75" customHeight="1" x14ac:dyDescent="0.2"/>
    <row r="875" s="23" customFormat="1" ht="15.75" customHeight="1" x14ac:dyDescent="0.2"/>
    <row r="876" s="23" customFormat="1" ht="15.75" customHeight="1" x14ac:dyDescent="0.2"/>
    <row r="877" s="23" customFormat="1" ht="15.75" customHeight="1" x14ac:dyDescent="0.2"/>
    <row r="878" s="23" customFormat="1" ht="15.75" customHeight="1" x14ac:dyDescent="0.2"/>
    <row r="879" s="23" customFormat="1" ht="15.75" customHeight="1" x14ac:dyDescent="0.2"/>
    <row r="880" s="23" customFormat="1" ht="15.75" customHeight="1" x14ac:dyDescent="0.2"/>
    <row r="881" s="23" customFormat="1" ht="15.75" customHeight="1" x14ac:dyDescent="0.2"/>
    <row r="882" s="23" customFormat="1" ht="15.75" customHeight="1" x14ac:dyDescent="0.2"/>
    <row r="883" s="23" customFormat="1" ht="15.75" customHeight="1" x14ac:dyDescent="0.2"/>
    <row r="884" s="23" customFormat="1" ht="15.75" customHeight="1" x14ac:dyDescent="0.2"/>
    <row r="885" s="23" customFormat="1" ht="15.75" customHeight="1" x14ac:dyDescent="0.2"/>
    <row r="886" s="23" customFormat="1" ht="15.75" customHeight="1" x14ac:dyDescent="0.2"/>
    <row r="887" s="23" customFormat="1" ht="15.75" customHeight="1" x14ac:dyDescent="0.2"/>
    <row r="888" s="23" customFormat="1" ht="15.75" customHeight="1" x14ac:dyDescent="0.2"/>
    <row r="889" s="23" customFormat="1" ht="15.75" customHeight="1" x14ac:dyDescent="0.2"/>
    <row r="890" s="23" customFormat="1" ht="15.75" customHeight="1" x14ac:dyDescent="0.2"/>
    <row r="891" s="23" customFormat="1" ht="15.75" customHeight="1" x14ac:dyDescent="0.2"/>
    <row r="892" s="23" customFormat="1" ht="15.75" customHeight="1" x14ac:dyDescent="0.2"/>
    <row r="893" s="23" customFormat="1" ht="15.75" customHeight="1" x14ac:dyDescent="0.2"/>
    <row r="894" s="23" customFormat="1" ht="15.75" customHeight="1" x14ac:dyDescent="0.2"/>
    <row r="895" s="23" customFormat="1" ht="15.75" customHeight="1" x14ac:dyDescent="0.2"/>
    <row r="896" s="23" customFormat="1" ht="15.75" customHeight="1" x14ac:dyDescent="0.2"/>
    <row r="897" s="23" customFormat="1" ht="15.75" customHeight="1" x14ac:dyDescent="0.2"/>
    <row r="898" s="23" customFormat="1" ht="15.75" customHeight="1" x14ac:dyDescent="0.2"/>
    <row r="899" s="23" customFormat="1" ht="15.75" customHeight="1" x14ac:dyDescent="0.2"/>
    <row r="900" s="23" customFormat="1" ht="15.75" customHeight="1" x14ac:dyDescent="0.2"/>
    <row r="901" s="23" customFormat="1" ht="15.75" customHeight="1" x14ac:dyDescent="0.2"/>
    <row r="902" s="23" customFormat="1" ht="15.75" customHeight="1" x14ac:dyDescent="0.2"/>
    <row r="903" s="23" customFormat="1" ht="15.75" customHeight="1" x14ac:dyDescent="0.2"/>
    <row r="904" s="23" customFormat="1" ht="15.75" customHeight="1" x14ac:dyDescent="0.2"/>
    <row r="905" s="23" customFormat="1" ht="15.75" customHeight="1" x14ac:dyDescent="0.2"/>
    <row r="906" s="23" customFormat="1" ht="15.75" customHeight="1" x14ac:dyDescent="0.2"/>
    <row r="907" s="23" customFormat="1" ht="15.75" customHeight="1" x14ac:dyDescent="0.2"/>
    <row r="908" s="23" customFormat="1" ht="15.75" customHeight="1" x14ac:dyDescent="0.2"/>
    <row r="909" s="23" customFormat="1" ht="15.75" customHeight="1" x14ac:dyDescent="0.2"/>
    <row r="910" s="23" customFormat="1" ht="15.75" customHeight="1" x14ac:dyDescent="0.2"/>
    <row r="911" s="23" customFormat="1" ht="15.75" customHeight="1" x14ac:dyDescent="0.2"/>
    <row r="912" s="23" customFormat="1" ht="15.75" customHeight="1" x14ac:dyDescent="0.2"/>
    <row r="913" s="23" customFormat="1" ht="15.75" customHeight="1" x14ac:dyDescent="0.2"/>
    <row r="914" s="23" customFormat="1" ht="15.75" customHeight="1" x14ac:dyDescent="0.2"/>
    <row r="915" s="23" customFormat="1" ht="15.75" customHeight="1" x14ac:dyDescent="0.2"/>
    <row r="916" s="23" customFormat="1" ht="15.75" customHeight="1" x14ac:dyDescent="0.2"/>
    <row r="917" s="23" customFormat="1" ht="15.75" customHeight="1" x14ac:dyDescent="0.2"/>
    <row r="918" s="23" customFormat="1" ht="15.75" customHeight="1" x14ac:dyDescent="0.2"/>
    <row r="919" s="23" customFormat="1" ht="15.75" customHeight="1" x14ac:dyDescent="0.2"/>
    <row r="920" s="23" customFormat="1" ht="15.75" customHeight="1" x14ac:dyDescent="0.2"/>
    <row r="921" s="23" customFormat="1" ht="15.75" customHeight="1" x14ac:dyDescent="0.2"/>
    <row r="922" s="23" customFormat="1" ht="15.75" customHeight="1" x14ac:dyDescent="0.2"/>
    <row r="923" s="23" customFormat="1" ht="15.75" customHeight="1" x14ac:dyDescent="0.2"/>
    <row r="924" s="23" customFormat="1" ht="15.75" customHeight="1" x14ac:dyDescent="0.2"/>
    <row r="925" s="23" customFormat="1" ht="15.75" customHeight="1" x14ac:dyDescent="0.2"/>
    <row r="926" s="23" customFormat="1" ht="15.75" customHeight="1" x14ac:dyDescent="0.2"/>
    <row r="927" s="23" customFormat="1" ht="15.75" customHeight="1" x14ac:dyDescent="0.2"/>
    <row r="928" s="23" customFormat="1" ht="15.75" customHeight="1" x14ac:dyDescent="0.2"/>
    <row r="929" s="23" customFormat="1" ht="15.75" customHeight="1" x14ac:dyDescent="0.2"/>
    <row r="930" s="23" customFormat="1" ht="15.75" customHeight="1" x14ac:dyDescent="0.2"/>
    <row r="931" s="23" customFormat="1" ht="15.75" customHeight="1" x14ac:dyDescent="0.2"/>
    <row r="932" s="23" customFormat="1" ht="15.75" customHeight="1" x14ac:dyDescent="0.2"/>
    <row r="933" s="23" customFormat="1" ht="15.75" customHeight="1" x14ac:dyDescent="0.2"/>
    <row r="934" s="23" customFormat="1" ht="15.75" customHeight="1" x14ac:dyDescent="0.2"/>
    <row r="935" s="23" customFormat="1" ht="15.75" customHeight="1" x14ac:dyDescent="0.2"/>
    <row r="936" s="23" customFormat="1" ht="15.75" customHeight="1" x14ac:dyDescent="0.2"/>
    <row r="937" s="23" customFormat="1" ht="15.75" customHeight="1" x14ac:dyDescent="0.2"/>
    <row r="938" s="23" customFormat="1" ht="15.75" customHeight="1" x14ac:dyDescent="0.2"/>
    <row r="939" s="23" customFormat="1" ht="15.75" customHeight="1" x14ac:dyDescent="0.2"/>
    <row r="940" s="23" customFormat="1" ht="15.75" customHeight="1" x14ac:dyDescent="0.2"/>
    <row r="941" s="23" customFormat="1" ht="15.75" customHeight="1" x14ac:dyDescent="0.2"/>
    <row r="942" s="23" customFormat="1" ht="15.75" customHeight="1" x14ac:dyDescent="0.2"/>
    <row r="943" s="23" customFormat="1" ht="15.75" customHeight="1" x14ac:dyDescent="0.2"/>
    <row r="944" s="23" customFormat="1" ht="15.75" customHeight="1" x14ac:dyDescent="0.2"/>
    <row r="945" s="23" customFormat="1" ht="15.75" customHeight="1" x14ac:dyDescent="0.2"/>
    <row r="946" s="23" customFormat="1" ht="15.75" customHeight="1" x14ac:dyDescent="0.2"/>
    <row r="947" s="23" customFormat="1" ht="15.75" customHeight="1" x14ac:dyDescent="0.2"/>
    <row r="948" s="23" customFormat="1" ht="15.75" customHeight="1" x14ac:dyDescent="0.2"/>
    <row r="949" s="23" customFormat="1" ht="15.75" customHeight="1" x14ac:dyDescent="0.2"/>
    <row r="950" s="23" customFormat="1" ht="15.75" customHeight="1" x14ac:dyDescent="0.2"/>
    <row r="951" s="23" customFormat="1" ht="15.75" customHeight="1" x14ac:dyDescent="0.2"/>
    <row r="952" s="23" customFormat="1" ht="15.75" customHeight="1" x14ac:dyDescent="0.2"/>
    <row r="953" s="23" customFormat="1" ht="15.75" customHeight="1" x14ac:dyDescent="0.2"/>
    <row r="954" s="23" customFormat="1" ht="15.75" customHeight="1" x14ac:dyDescent="0.2"/>
    <row r="955" s="23" customFormat="1" ht="15.75" customHeight="1" x14ac:dyDescent="0.2"/>
    <row r="956" s="23" customFormat="1" ht="15.75" customHeight="1" x14ac:dyDescent="0.2"/>
    <row r="957" s="23" customFormat="1" ht="15.75" customHeight="1" x14ac:dyDescent="0.2"/>
    <row r="958" s="23" customFormat="1" ht="15.75" customHeight="1" x14ac:dyDescent="0.2"/>
    <row r="959" s="23" customFormat="1" ht="15.75" customHeight="1" x14ac:dyDescent="0.2"/>
    <row r="960" s="23" customFormat="1" ht="15.75" customHeight="1" x14ac:dyDescent="0.2"/>
    <row r="961" s="23" customFormat="1" ht="15.75" customHeight="1" x14ac:dyDescent="0.2"/>
    <row r="962" s="23" customFormat="1" ht="15.75" customHeight="1" x14ac:dyDescent="0.2"/>
    <row r="963" s="23" customFormat="1" ht="15.75" customHeight="1" x14ac:dyDescent="0.2"/>
    <row r="964" s="23" customFormat="1" ht="15.75" customHeight="1" x14ac:dyDescent="0.2"/>
    <row r="965" s="23" customFormat="1" ht="15.75" customHeight="1" x14ac:dyDescent="0.2"/>
    <row r="966" s="23" customFormat="1" ht="15.75" customHeight="1" x14ac:dyDescent="0.2"/>
    <row r="967" s="23" customFormat="1" ht="15.75" customHeight="1" x14ac:dyDescent="0.2"/>
    <row r="968" s="23" customFormat="1" ht="15.75" customHeight="1" x14ac:dyDescent="0.2"/>
    <row r="969" s="23" customFormat="1" ht="15.75" customHeight="1" x14ac:dyDescent="0.2"/>
    <row r="970" s="23" customFormat="1" ht="15.75" customHeight="1" x14ac:dyDescent="0.2"/>
    <row r="971" s="23" customFormat="1" ht="15.75" customHeight="1" x14ac:dyDescent="0.2"/>
    <row r="972" s="23" customFormat="1" ht="15.75" customHeight="1" x14ac:dyDescent="0.2"/>
    <row r="973" s="23" customFormat="1" ht="15.75" customHeight="1" x14ac:dyDescent="0.2"/>
    <row r="974" s="23" customFormat="1" ht="15.75" customHeight="1" x14ac:dyDescent="0.2"/>
    <row r="975" s="23" customFormat="1" ht="15.75" customHeight="1" x14ac:dyDescent="0.2"/>
    <row r="976" s="23" customFormat="1" ht="15.75" customHeight="1" x14ac:dyDescent="0.2"/>
    <row r="977" s="23" customFormat="1" ht="15.75" customHeight="1" x14ac:dyDescent="0.2"/>
    <row r="978" s="23" customFormat="1" ht="15.75" customHeight="1" x14ac:dyDescent="0.2"/>
    <row r="979" s="23" customFormat="1" ht="15.75" customHeight="1" x14ac:dyDescent="0.2"/>
    <row r="980" s="23" customFormat="1" ht="15.75" customHeight="1" x14ac:dyDescent="0.2"/>
    <row r="981" s="23" customFormat="1" ht="15.75" customHeight="1" x14ac:dyDescent="0.2"/>
    <row r="982" s="23" customFormat="1" ht="15.75" customHeight="1" x14ac:dyDescent="0.2"/>
    <row r="983" s="23" customFormat="1" ht="15.75" customHeight="1" x14ac:dyDescent="0.2"/>
    <row r="984" s="23" customFormat="1" ht="15.75" customHeight="1" x14ac:dyDescent="0.2"/>
    <row r="985" s="23" customFormat="1" ht="15.75" customHeight="1" x14ac:dyDescent="0.2"/>
    <row r="986" s="23" customFormat="1" ht="15.75" customHeight="1" x14ac:dyDescent="0.2"/>
    <row r="987" s="23" customFormat="1" ht="15.75" customHeight="1" x14ac:dyDescent="0.2"/>
    <row r="988" s="23" customFormat="1" ht="15.75" customHeight="1" x14ac:dyDescent="0.2"/>
    <row r="989" s="23" customFormat="1" ht="15.75" customHeight="1" x14ac:dyDescent="0.2"/>
    <row r="990" s="23" customFormat="1" ht="15.75" customHeight="1" x14ac:dyDescent="0.2"/>
    <row r="991" s="23" customFormat="1" ht="15.75" customHeight="1" x14ac:dyDescent="0.2"/>
    <row r="992" s="23" customFormat="1" ht="15.75" customHeight="1" x14ac:dyDescent="0.2"/>
    <row r="993" s="23" customFormat="1" ht="15.75" customHeight="1" x14ac:dyDescent="0.2"/>
    <row r="994" s="23" customFormat="1" ht="15.75" customHeight="1" x14ac:dyDescent="0.2"/>
    <row r="995" s="23" customFormat="1" ht="15.75" customHeight="1" x14ac:dyDescent="0.2"/>
    <row r="996" s="23" customFormat="1" ht="15.75" customHeight="1" x14ac:dyDescent="0.2"/>
    <row r="997" s="23" customFormat="1" ht="15.75" customHeight="1" x14ac:dyDescent="0.2"/>
    <row r="998" s="23" customFormat="1" ht="15.75" customHeight="1" x14ac:dyDescent="0.2"/>
    <row r="999" s="23" customFormat="1" ht="15.75" customHeight="1" x14ac:dyDescent="0.2"/>
    <row r="1000" s="23" customFormat="1" ht="15.75" customHeight="1" x14ac:dyDescent="0.2"/>
  </sheetData>
  <sheetProtection sheet="1" objects="1" scenarios="1"/>
  <mergeCells count="2">
    <mergeCell ref="B17:L17"/>
    <mergeCell ref="B1:AF1"/>
  </mergeCells>
  <dataValidations count="1">
    <dataValidation type="list" allowBlank="1" sqref="AG4:AG13" xr:uid="{00000000-0002-0000-0200-000000000000}">
      <formula1>"Profesional,Individual,Superhost,Empresa"</formula1>
      <formula2>0</formula2>
    </dataValidation>
  </dataValidation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A7517"/>
  </sheetPr>
  <dimension ref="A1:Q1001"/>
  <sheetViews>
    <sheetView showGridLines="0" zoomScale="92" zoomScaleNormal="100" workbookViewId="0">
      <pane xSplit="3" topLeftCell="D1" activePane="topRight" state="frozen"/>
      <selection pane="topRight" activeCell="L5" sqref="L5:L9"/>
    </sheetView>
  </sheetViews>
  <sheetFormatPr baseColWidth="10" defaultColWidth="14.5" defaultRowHeight="15" x14ac:dyDescent="0.2"/>
  <cols>
    <col min="1" max="1" width="3" customWidth="1"/>
    <col min="2" max="2" width="22.1640625" customWidth="1"/>
    <col min="3" max="3" width="38" customWidth="1"/>
    <col min="4" max="5" width="8" customWidth="1"/>
    <col min="6" max="6" width="9.33203125" customWidth="1"/>
    <col min="7" max="7" width="8" customWidth="1"/>
    <col min="8" max="9" width="9" customWidth="1"/>
    <col min="10" max="10" width="18" customWidth="1"/>
    <col min="11" max="11" width="11.1640625" customWidth="1"/>
    <col min="12" max="12" width="12" customWidth="1"/>
    <col min="13" max="13" width="13" customWidth="1"/>
    <col min="14" max="15" width="30" customWidth="1"/>
    <col min="16" max="16" width="57" customWidth="1"/>
    <col min="17" max="17" width="53.5" customWidth="1"/>
  </cols>
  <sheetData>
    <row r="1" spans="1:17" ht="27.75" customHeight="1" x14ac:dyDescent="0.2">
      <c r="B1" s="274" t="s">
        <v>45</v>
      </c>
      <c r="C1" s="274"/>
      <c r="D1" s="274"/>
      <c r="E1" s="274"/>
      <c r="F1" s="274"/>
      <c r="G1" s="274"/>
      <c r="H1" s="274"/>
      <c r="I1" s="274"/>
      <c r="J1" s="274"/>
      <c r="K1" s="274"/>
      <c r="L1" s="274"/>
      <c r="M1" s="274"/>
      <c r="N1" s="274"/>
      <c r="O1" s="274"/>
      <c r="P1" s="274"/>
      <c r="Q1" s="103"/>
    </row>
    <row r="2" spans="1:17" ht="13.5" customHeight="1" x14ac:dyDescent="0.2">
      <c r="B2" s="104" t="s">
        <v>46</v>
      </c>
      <c r="C2" s="23"/>
      <c r="D2" s="23"/>
      <c r="E2" s="23"/>
      <c r="F2" s="23"/>
      <c r="G2" s="23"/>
      <c r="H2" s="23"/>
      <c r="I2" s="23"/>
      <c r="J2" s="23"/>
      <c r="K2" s="23"/>
      <c r="L2" s="23"/>
      <c r="M2" s="23"/>
      <c r="N2" s="23"/>
      <c r="O2" s="23"/>
      <c r="P2" s="23"/>
      <c r="Q2" s="23"/>
    </row>
    <row r="3" spans="1:17" ht="46" customHeight="1" thickBot="1" x14ac:dyDescent="0.25">
      <c r="B3" s="105" t="s">
        <v>16</v>
      </c>
      <c r="C3" s="105" t="s">
        <v>47</v>
      </c>
      <c r="D3" s="106" t="s">
        <v>18</v>
      </c>
      <c r="E3" s="107" t="s">
        <v>20</v>
      </c>
      <c r="F3" s="107" t="s">
        <v>144</v>
      </c>
      <c r="G3" s="105" t="s">
        <v>22</v>
      </c>
      <c r="H3" s="105" t="s">
        <v>23</v>
      </c>
      <c r="I3" s="44" t="s">
        <v>40</v>
      </c>
      <c r="J3" s="44" t="s">
        <v>185</v>
      </c>
      <c r="K3" s="44" t="s">
        <v>186</v>
      </c>
      <c r="L3" s="105" t="s">
        <v>143</v>
      </c>
      <c r="M3" s="105" t="s">
        <v>142</v>
      </c>
      <c r="N3" s="105" t="s">
        <v>192</v>
      </c>
      <c r="O3" s="107" t="s">
        <v>193</v>
      </c>
      <c r="P3" s="105" t="s">
        <v>48</v>
      </c>
      <c r="Q3" s="105" t="s">
        <v>49</v>
      </c>
    </row>
    <row r="4" spans="1:17" ht="46" customHeight="1" thickTop="1" thickBot="1" x14ac:dyDescent="0.25">
      <c r="B4" s="108" t="s">
        <v>146</v>
      </c>
      <c r="C4" s="52" t="s">
        <v>145</v>
      </c>
      <c r="D4" s="52">
        <v>3</v>
      </c>
      <c r="E4" s="52">
        <v>2</v>
      </c>
      <c r="F4" s="52">
        <v>6</v>
      </c>
      <c r="G4" s="52">
        <v>120</v>
      </c>
      <c r="H4" s="53">
        <v>4.9000000000000004</v>
      </c>
      <c r="I4" s="54">
        <v>43800</v>
      </c>
      <c r="J4" s="129">
        <f>IF(OR('1. Perfil'!$C$30="",I4=""),"",IFERROR(('1. Perfil'!$C$30-I4)/365,""))</f>
        <v>6.5315068493150683</v>
      </c>
      <c r="K4" s="129">
        <f>IF(OR('1. Perfil'!$C$30="",I4=""),"",IFERROR(G4/MAX(1,('1. Perfil'!$C$30-I4)/365),""))</f>
        <v>18.372483221476511</v>
      </c>
      <c r="L4" s="55">
        <v>250</v>
      </c>
      <c r="M4" s="56">
        <v>0.65</v>
      </c>
      <c r="N4" s="130">
        <f t="shared" ref="N4:N9" si="0">IFERROR(L4*M4*30,"")</f>
        <v>4875</v>
      </c>
      <c r="O4" s="131">
        <f t="shared" ref="O4:O9" si="1">IFERROR(N4*12,"")</f>
        <v>58500</v>
      </c>
      <c r="P4" s="109" t="s">
        <v>149</v>
      </c>
      <c r="Q4" s="110" t="s">
        <v>150</v>
      </c>
    </row>
    <row r="5" spans="1:17" ht="69" customHeight="1" thickTop="1" x14ac:dyDescent="0.2">
      <c r="B5" s="111">
        <v>1</v>
      </c>
      <c r="C5" s="112"/>
      <c r="D5" s="112"/>
      <c r="E5" s="113"/>
      <c r="F5" s="113"/>
      <c r="G5" s="112"/>
      <c r="H5" s="112"/>
      <c r="I5" s="114"/>
      <c r="J5" s="132" t="str">
        <f>IF(OR('1. Perfil'!$C$30="",I5=""),"",IFERROR(('1. Perfil'!$C$30-I5)/365,""))</f>
        <v/>
      </c>
      <c r="K5" s="132" t="str">
        <f>IF(OR('1. Perfil'!$C$30="",I5=""),"",IFERROR(G5/MAX(1,('1. Perfil'!$C$30-I5)/365),""))</f>
        <v/>
      </c>
      <c r="L5" s="115"/>
      <c r="M5" s="116"/>
      <c r="N5" s="133">
        <f t="shared" si="0"/>
        <v>0</v>
      </c>
      <c r="O5" s="134">
        <f t="shared" si="1"/>
        <v>0</v>
      </c>
      <c r="P5" s="117"/>
      <c r="Q5" s="118"/>
    </row>
    <row r="6" spans="1:17" ht="69" customHeight="1" x14ac:dyDescent="0.2">
      <c r="B6" s="119">
        <v>2</v>
      </c>
      <c r="C6" s="120"/>
      <c r="D6" s="120"/>
      <c r="E6" s="121"/>
      <c r="F6" s="121"/>
      <c r="G6" s="120"/>
      <c r="H6" s="120"/>
      <c r="I6" s="122"/>
      <c r="J6" s="135" t="str">
        <f>IF(OR('1. Perfil'!$C$30="",I6=""),"",IFERROR(('1. Perfil'!$C$30-I6)/365,""))</f>
        <v/>
      </c>
      <c r="K6" s="135" t="str">
        <f>IF(OR('1. Perfil'!$C$30="",I6=""),"",IFERROR(G6/MAX(1,('1. Perfil'!$C$30-I6)/365),""))</f>
        <v/>
      </c>
      <c r="L6" s="123"/>
      <c r="M6" s="124"/>
      <c r="N6" s="136">
        <f t="shared" si="0"/>
        <v>0</v>
      </c>
      <c r="O6" s="137">
        <f t="shared" si="1"/>
        <v>0</v>
      </c>
      <c r="P6" s="125"/>
      <c r="Q6" s="126"/>
    </row>
    <row r="7" spans="1:17" ht="69" customHeight="1" x14ac:dyDescent="0.2">
      <c r="B7" s="127">
        <v>3</v>
      </c>
      <c r="C7" s="120"/>
      <c r="D7" s="120"/>
      <c r="E7" s="121"/>
      <c r="F7" s="121"/>
      <c r="G7" s="120"/>
      <c r="H7" s="120"/>
      <c r="I7" s="122"/>
      <c r="J7" s="135" t="str">
        <f>IF(OR('1. Perfil'!$C$30="",I7=""),"",IFERROR(('1. Perfil'!$C$30-I7)/365,""))</f>
        <v/>
      </c>
      <c r="K7" s="135" t="str">
        <f>IF(OR('1. Perfil'!$C$30="",I7=""),"",IFERROR(G7/MAX(1,('1. Perfil'!$C$30-I7)/365),""))</f>
        <v/>
      </c>
      <c r="L7" s="123"/>
      <c r="M7" s="124"/>
      <c r="N7" s="136">
        <f t="shared" si="0"/>
        <v>0</v>
      </c>
      <c r="O7" s="137">
        <f t="shared" si="1"/>
        <v>0</v>
      </c>
      <c r="P7" s="125"/>
      <c r="Q7" s="126"/>
    </row>
    <row r="8" spans="1:17" ht="69" customHeight="1" x14ac:dyDescent="0.2">
      <c r="B8" s="119">
        <v>4</v>
      </c>
      <c r="C8" s="120"/>
      <c r="D8" s="120"/>
      <c r="E8" s="121"/>
      <c r="F8" s="121"/>
      <c r="G8" s="120"/>
      <c r="H8" s="120"/>
      <c r="I8" s="122"/>
      <c r="J8" s="135" t="str">
        <f>IF(OR('1. Perfil'!$C$30="",I8=""),"",IFERROR(('1. Perfil'!$C$30-I8)/365,""))</f>
        <v/>
      </c>
      <c r="K8" s="135" t="str">
        <f>IF(OR('1. Perfil'!$C$30="",I8=""),"",IFERROR(G8/MAX(1,('1. Perfil'!$C$30-I8)/365),""))</f>
        <v/>
      </c>
      <c r="L8" s="123"/>
      <c r="M8" s="124"/>
      <c r="N8" s="136">
        <f t="shared" si="0"/>
        <v>0</v>
      </c>
      <c r="O8" s="137">
        <f t="shared" si="1"/>
        <v>0</v>
      </c>
      <c r="P8" s="125"/>
      <c r="Q8" s="126"/>
    </row>
    <row r="9" spans="1:17" ht="69" customHeight="1" x14ac:dyDescent="0.2">
      <c r="B9" s="127">
        <v>5</v>
      </c>
      <c r="C9" s="120"/>
      <c r="D9" s="120"/>
      <c r="E9" s="121"/>
      <c r="F9" s="121"/>
      <c r="G9" s="120"/>
      <c r="H9" s="120"/>
      <c r="I9" s="122"/>
      <c r="J9" s="135" t="str">
        <f>IF(OR('1. Perfil'!$C$30="",I9=""),"",IFERROR(('1. Perfil'!$C$30-I9)/365,""))</f>
        <v/>
      </c>
      <c r="K9" s="135" t="str">
        <f>IF(OR('1. Perfil'!$C$30="",I9=""),"",IFERROR(G9/MAX(1,('1. Perfil'!$C$30-I9)/365),""))</f>
        <v/>
      </c>
      <c r="L9" s="123"/>
      <c r="M9" s="124"/>
      <c r="N9" s="136">
        <f t="shared" si="0"/>
        <v>0</v>
      </c>
      <c r="O9" s="138">
        <f t="shared" si="1"/>
        <v>0</v>
      </c>
      <c r="P9" s="125"/>
      <c r="Q9" s="126"/>
    </row>
    <row r="10" spans="1:17" ht="15" customHeight="1" x14ac:dyDescent="0.2">
      <c r="B10" s="23"/>
      <c r="C10" s="23"/>
      <c r="D10" s="23"/>
      <c r="E10" s="23"/>
      <c r="F10" s="23"/>
      <c r="G10" s="23"/>
      <c r="H10" s="23"/>
      <c r="I10" s="23"/>
      <c r="J10" s="23"/>
      <c r="K10" s="23"/>
      <c r="L10" s="23"/>
      <c r="M10" s="23"/>
      <c r="N10" s="23"/>
      <c r="O10" s="23"/>
      <c r="P10" s="23"/>
      <c r="Q10" s="23"/>
    </row>
    <row r="11" spans="1:17" ht="25.5" customHeight="1" x14ac:dyDescent="0.2">
      <c r="A11" s="5"/>
      <c r="B11" s="275" t="s">
        <v>50</v>
      </c>
      <c r="C11" s="275"/>
      <c r="D11" s="275"/>
      <c r="E11" s="275"/>
      <c r="F11" s="275"/>
      <c r="G11" s="275"/>
      <c r="H11" s="275"/>
      <c r="I11" s="275"/>
      <c r="J11" s="275"/>
      <c r="K11" s="275"/>
      <c r="L11" s="275"/>
      <c r="M11" s="275"/>
      <c r="N11" s="275"/>
      <c r="O11" s="275"/>
      <c r="P11" s="275"/>
      <c r="Q11" s="275"/>
    </row>
    <row r="12" spans="1:17" ht="21.75" customHeight="1" x14ac:dyDescent="0.2">
      <c r="B12" s="128" t="s">
        <v>195</v>
      </c>
      <c r="C12" s="139">
        <f>IFERROR(MAX(N5:N9),"")</f>
        <v>0</v>
      </c>
      <c r="D12" s="104" t="s">
        <v>52</v>
      </c>
      <c r="E12" s="104"/>
      <c r="F12" s="104"/>
      <c r="G12" s="23"/>
      <c r="H12" s="23"/>
      <c r="I12" s="23"/>
      <c r="J12" s="23"/>
      <c r="K12" s="23"/>
      <c r="L12" s="23"/>
      <c r="M12" s="23"/>
      <c r="N12" s="23"/>
      <c r="O12" s="23"/>
      <c r="P12" s="23"/>
      <c r="Q12" s="23"/>
    </row>
    <row r="13" spans="1:17" ht="21.75" customHeight="1" x14ac:dyDescent="0.2">
      <c r="B13" s="128" t="s">
        <v>196</v>
      </c>
      <c r="C13" s="139">
        <f>IFERROR(AVERAGE(N5:N9),"")</f>
        <v>0</v>
      </c>
      <c r="D13" s="104" t="s">
        <v>52</v>
      </c>
      <c r="E13" s="104"/>
      <c r="F13" s="104"/>
      <c r="G13" s="23"/>
      <c r="H13" s="23"/>
      <c r="I13" s="23"/>
      <c r="J13" s="23"/>
      <c r="K13" s="23"/>
      <c r="L13" s="23"/>
      <c r="M13" s="23"/>
      <c r="N13" s="23"/>
      <c r="O13" s="23"/>
      <c r="P13" s="23"/>
      <c r="Q13" s="23"/>
    </row>
    <row r="14" spans="1:17" ht="21.75" customHeight="1" x14ac:dyDescent="0.2">
      <c r="B14" s="128" t="s">
        <v>197</v>
      </c>
      <c r="C14" s="139" t="str">
        <f>IFERROR(AVERAGE(L5:L9),"")</f>
        <v/>
      </c>
      <c r="D14" s="104" t="s">
        <v>52</v>
      </c>
      <c r="E14" s="104"/>
      <c r="F14" s="104"/>
      <c r="G14" s="23"/>
      <c r="H14" s="23"/>
      <c r="I14" s="23"/>
      <c r="J14" s="23"/>
      <c r="K14" s="23"/>
      <c r="L14" s="23"/>
      <c r="M14" s="23"/>
      <c r="N14" s="23"/>
      <c r="O14" s="23"/>
      <c r="P14" s="23"/>
      <c r="Q14" s="23"/>
    </row>
    <row r="15" spans="1:17" ht="21.75" customHeight="1" x14ac:dyDescent="0.2">
      <c r="B15" s="187" t="s">
        <v>198</v>
      </c>
      <c r="C15" s="139" t="str">
        <f>IFERROR(N13-'2. Mercado'!AA15,"")</f>
        <v/>
      </c>
      <c r="D15" s="104" t="s">
        <v>52</v>
      </c>
      <c r="E15" s="104"/>
      <c r="F15" s="104"/>
      <c r="G15" s="23"/>
      <c r="H15" s="23"/>
      <c r="I15" s="23"/>
      <c r="J15" s="23"/>
      <c r="K15" s="23"/>
      <c r="L15" s="23"/>
      <c r="M15" s="23"/>
      <c r="N15" s="23"/>
      <c r="O15" s="23"/>
      <c r="P15" s="23"/>
      <c r="Q15" s="23"/>
    </row>
    <row r="16" spans="1:17" ht="22" customHeight="1" x14ac:dyDescent="0.2">
      <c r="B16" s="256" t="s">
        <v>194</v>
      </c>
      <c r="C16" s="257"/>
      <c r="D16" s="257"/>
      <c r="E16" s="257"/>
      <c r="F16" s="257"/>
      <c r="G16" s="257"/>
      <c r="H16" s="257"/>
      <c r="I16" s="23"/>
      <c r="J16" s="23"/>
      <c r="K16" s="23"/>
      <c r="L16" s="23"/>
      <c r="M16" s="23"/>
      <c r="N16" s="23"/>
      <c r="O16" s="23"/>
      <c r="P16" s="23"/>
      <c r="Q16" s="23"/>
    </row>
    <row r="17" spans="2:17" x14ac:dyDescent="0.2">
      <c r="B17" s="102" t="str">
        <f>IF('1. Perfil'!C30="","⚠ Falta fecha del estudio en '1. Perfil'!C30","📅 Fecha del estudio: "&amp;TEXT('1. Perfil'!C30,"dd/mmm/aaaa"))</f>
        <v>📅 Fecha del estudio: 11/jun/2026</v>
      </c>
      <c r="C17" s="23"/>
      <c r="D17" s="23"/>
      <c r="E17" s="23"/>
      <c r="F17" s="23"/>
      <c r="G17" s="23"/>
      <c r="H17" s="23"/>
      <c r="I17" s="23"/>
      <c r="J17" s="23"/>
      <c r="K17" s="23"/>
      <c r="L17" s="23"/>
      <c r="M17" s="23"/>
      <c r="N17" s="23"/>
      <c r="O17" s="23"/>
      <c r="P17" s="23"/>
      <c r="Q17" s="23"/>
    </row>
    <row r="22" spans="2:17" ht="15.75" customHeight="1" x14ac:dyDescent="0.2"/>
    <row r="23" spans="2:17" ht="15.75" customHeight="1" x14ac:dyDescent="0.2"/>
    <row r="24" spans="2:17" ht="15.75" customHeight="1" x14ac:dyDescent="0.2"/>
    <row r="25" spans="2:17" ht="15.75" customHeight="1" x14ac:dyDescent="0.2"/>
    <row r="26" spans="2:17" ht="15.75" customHeight="1" x14ac:dyDescent="0.2"/>
    <row r="27" spans="2:17" ht="15.75" customHeight="1" x14ac:dyDescent="0.2"/>
    <row r="28" spans="2:17" ht="15.75" customHeight="1" x14ac:dyDescent="0.2"/>
    <row r="29" spans="2:17" ht="15.75" customHeight="1" x14ac:dyDescent="0.2"/>
    <row r="30" spans="2:17" ht="15.75" customHeight="1" x14ac:dyDescent="0.2"/>
    <row r="31" spans="2:17" ht="15.75" customHeight="1" x14ac:dyDescent="0.2"/>
    <row r="32" spans="2: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sheetProtection sheet="1" objects="1" scenarios="1" formatCells="0" formatColumns="0" formatRows="0" insertHyperlinks="0" sort="0" autoFilter="0"/>
  <mergeCells count="3">
    <mergeCell ref="B1:P1"/>
    <mergeCell ref="B11:Q11"/>
    <mergeCell ref="B16:H16"/>
  </mergeCell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F6E56"/>
  </sheetPr>
  <dimension ref="A1:Q1012"/>
  <sheetViews>
    <sheetView showGridLines="0" tabSelected="1" zoomScale="117" zoomScaleNormal="100" workbookViewId="0">
      <pane xSplit="2" topLeftCell="C1" activePane="topRight" state="frozen"/>
      <selection activeCell="A29" sqref="A29"/>
      <selection pane="topRight" activeCell="D10" sqref="D10"/>
    </sheetView>
  </sheetViews>
  <sheetFormatPr baseColWidth="10" defaultColWidth="14.5" defaultRowHeight="15" x14ac:dyDescent="0.2"/>
  <cols>
    <col min="1" max="1" width="3" customWidth="1"/>
    <col min="2" max="2" width="46" customWidth="1"/>
    <col min="3" max="3" width="11" customWidth="1"/>
    <col min="4" max="14" width="9.5" customWidth="1"/>
    <col min="15" max="16" width="13" customWidth="1"/>
    <col min="17" max="17" width="35" customWidth="1"/>
  </cols>
  <sheetData>
    <row r="1" spans="1:17" ht="27.75" customHeight="1" x14ac:dyDescent="0.2">
      <c r="B1" s="41" t="s">
        <v>55</v>
      </c>
      <c r="C1" s="31"/>
      <c r="D1" s="31"/>
      <c r="E1" s="31"/>
      <c r="F1" s="31"/>
      <c r="G1" s="31"/>
      <c r="H1" s="31"/>
      <c r="I1" s="31"/>
      <c r="J1" s="31"/>
      <c r="K1" s="31"/>
      <c r="L1" s="31"/>
      <c r="M1" s="31"/>
      <c r="N1" s="31"/>
      <c r="O1" s="31"/>
      <c r="P1" s="31"/>
      <c r="Q1" s="31"/>
    </row>
    <row r="2" spans="1:17" ht="13.5" customHeight="1" x14ac:dyDescent="0.2">
      <c r="B2" s="104" t="s">
        <v>56</v>
      </c>
      <c r="C2" s="23"/>
      <c r="D2" s="23"/>
      <c r="E2" s="23"/>
      <c r="F2" s="23"/>
      <c r="G2" s="23"/>
      <c r="H2" s="23"/>
      <c r="I2" s="23"/>
      <c r="J2" s="23"/>
      <c r="K2" s="23"/>
      <c r="L2" s="23"/>
      <c r="M2" s="23"/>
      <c r="N2" s="23"/>
      <c r="O2" s="23"/>
      <c r="P2" s="23"/>
      <c r="Q2" s="23"/>
    </row>
    <row r="3" spans="1:17" ht="24" customHeight="1" x14ac:dyDescent="0.2">
      <c r="A3" s="3"/>
      <c r="B3" s="24" t="s">
        <v>57</v>
      </c>
      <c r="C3" s="140" t="s">
        <v>24</v>
      </c>
      <c r="D3" s="140" t="s">
        <v>25</v>
      </c>
      <c r="E3" s="140" t="s">
        <v>26</v>
      </c>
      <c r="F3" s="140" t="s">
        <v>27</v>
      </c>
      <c r="G3" s="140" t="s">
        <v>28</v>
      </c>
      <c r="H3" s="140" t="s">
        <v>29</v>
      </c>
      <c r="I3" s="140" t="s">
        <v>30</v>
      </c>
      <c r="J3" s="140" t="s">
        <v>31</v>
      </c>
      <c r="K3" s="140" t="s">
        <v>32</v>
      </c>
      <c r="L3" s="140" t="s">
        <v>33</v>
      </c>
      <c r="M3" s="140" t="s">
        <v>34</v>
      </c>
      <c r="N3" s="140" t="s">
        <v>35</v>
      </c>
      <c r="O3" s="141" t="s">
        <v>58</v>
      </c>
      <c r="P3" s="141" t="s">
        <v>59</v>
      </c>
      <c r="Q3" s="141" t="s">
        <v>60</v>
      </c>
    </row>
    <row r="4" spans="1:17" ht="21.75" customHeight="1" x14ac:dyDescent="0.2">
      <c r="A4" s="6"/>
      <c r="B4" s="142" t="s">
        <v>61</v>
      </c>
      <c r="C4" s="143"/>
      <c r="D4" s="143"/>
      <c r="E4" s="143"/>
      <c r="F4" s="143"/>
      <c r="G4" s="143"/>
      <c r="H4" s="143"/>
      <c r="I4" s="143"/>
      <c r="J4" s="143"/>
      <c r="K4" s="143"/>
      <c r="L4" s="143"/>
      <c r="M4" s="143"/>
      <c r="N4" s="143"/>
      <c r="O4" s="143"/>
      <c r="P4" s="143"/>
      <c r="Q4" s="143"/>
    </row>
    <row r="5" spans="1:17" ht="19.5" customHeight="1" x14ac:dyDescent="0.2">
      <c r="B5" s="144" t="s">
        <v>62</v>
      </c>
      <c r="C5" s="167">
        <f>IFERROR('2. Mercado'!M14,"")</f>
        <v>0</v>
      </c>
      <c r="D5" s="167">
        <f>IFERROR('2. Mercado'!N14,"")</f>
        <v>0</v>
      </c>
      <c r="E5" s="167">
        <f>IFERROR('2. Mercado'!O14,"")</f>
        <v>0</v>
      </c>
      <c r="F5" s="167">
        <f>IFERROR('2. Mercado'!P14,"")</f>
        <v>0</v>
      </c>
      <c r="G5" s="167">
        <f>IFERROR('2. Mercado'!Q14,"")</f>
        <v>0</v>
      </c>
      <c r="H5" s="167">
        <f>IFERROR('2. Mercado'!R14,"")</f>
        <v>0</v>
      </c>
      <c r="I5" s="167">
        <f>IFERROR('2. Mercado'!S14,"")</f>
        <v>0</v>
      </c>
      <c r="J5" s="167">
        <f>IFERROR('2. Mercado'!T14,"")</f>
        <v>0</v>
      </c>
      <c r="K5" s="167">
        <f>IFERROR('2. Mercado'!U14,"")</f>
        <v>0</v>
      </c>
      <c r="L5" s="167">
        <f>IFERROR('2. Mercado'!V14,"")</f>
        <v>0</v>
      </c>
      <c r="M5" s="167">
        <f>IFERROR('2. Mercado'!W14,"")</f>
        <v>0</v>
      </c>
      <c r="N5" s="167">
        <f>IFERROR('2. Mercado'!X14,"")</f>
        <v>0</v>
      </c>
      <c r="O5" s="101">
        <f>IFERROR(AVERAGE(C5:N5),"")</f>
        <v>0</v>
      </c>
      <c r="P5" s="145" t="s">
        <v>63</v>
      </c>
      <c r="Q5" s="28" t="s">
        <v>64</v>
      </c>
    </row>
    <row r="6" spans="1:17" ht="19.5" customHeight="1" x14ac:dyDescent="0.2">
      <c r="B6" s="144" t="s">
        <v>65</v>
      </c>
      <c r="C6" s="168">
        <f>IFERROR('2. Mercado'!$Z$14,"")</f>
        <v>0</v>
      </c>
      <c r="D6" s="168">
        <f>IFERROR('2. Mercado'!$Z$14,"")</f>
        <v>0</v>
      </c>
      <c r="E6" s="168">
        <f>IFERROR('2. Mercado'!$Z$14,"")</f>
        <v>0</v>
      </c>
      <c r="F6" s="168">
        <f>IFERROR('2. Mercado'!$Z$14,"")</f>
        <v>0</v>
      </c>
      <c r="G6" s="168">
        <f>IFERROR('2. Mercado'!$Z$14,"")</f>
        <v>0</v>
      </c>
      <c r="H6" s="168">
        <f>IFERROR('2. Mercado'!$Z$14,"")</f>
        <v>0</v>
      </c>
      <c r="I6" s="168">
        <f>IFERROR('2. Mercado'!$Z$14,"")</f>
        <v>0</v>
      </c>
      <c r="J6" s="168">
        <f>IFERROR('2. Mercado'!$Z$14,"")</f>
        <v>0</v>
      </c>
      <c r="K6" s="168">
        <f>IFERROR('2. Mercado'!$Z$14,"")</f>
        <v>0</v>
      </c>
      <c r="L6" s="168">
        <f>IFERROR('2. Mercado'!$Z$14,"")</f>
        <v>0</v>
      </c>
      <c r="M6" s="168">
        <f>IFERROR('2. Mercado'!$Z$14,"")</f>
        <v>0</v>
      </c>
      <c r="N6" s="168">
        <f>IFERROR('2. Mercado'!$Z$14,"")</f>
        <v>0</v>
      </c>
      <c r="O6" s="169">
        <f>IFERROR(AVERAGE(C6:N6),"")</f>
        <v>0</v>
      </c>
      <c r="P6" s="146" t="s">
        <v>63</v>
      </c>
      <c r="Q6" s="28" t="s">
        <v>66</v>
      </c>
    </row>
    <row r="7" spans="1:17" ht="15.75" customHeight="1" x14ac:dyDescent="0.2">
      <c r="B7" s="147" t="s">
        <v>67</v>
      </c>
      <c r="C7" s="148">
        <v>31</v>
      </c>
      <c r="D7" s="148">
        <v>28</v>
      </c>
      <c r="E7" s="148">
        <v>31</v>
      </c>
      <c r="F7" s="148">
        <v>30</v>
      </c>
      <c r="G7" s="148">
        <v>31</v>
      </c>
      <c r="H7" s="148">
        <v>30</v>
      </c>
      <c r="I7" s="148">
        <v>31</v>
      </c>
      <c r="J7" s="148">
        <v>31</v>
      </c>
      <c r="K7" s="148">
        <v>30</v>
      </c>
      <c r="L7" s="148">
        <v>31</v>
      </c>
      <c r="M7" s="148">
        <v>30</v>
      </c>
      <c r="N7" s="148">
        <v>31</v>
      </c>
      <c r="O7" s="149">
        <v>365</v>
      </c>
      <c r="P7" s="170">
        <f>O7/12</f>
        <v>30.416666666666668</v>
      </c>
      <c r="Q7" s="28" t="s">
        <v>68</v>
      </c>
    </row>
    <row r="8" spans="1:17" ht="19.5" customHeight="1" x14ac:dyDescent="0.2">
      <c r="B8" s="150" t="s">
        <v>69</v>
      </c>
      <c r="C8" s="101">
        <f t="shared" ref="C8:N8" si="0">IFERROR(C5*C6*C7,0)</f>
        <v>0</v>
      </c>
      <c r="D8" s="101">
        <f t="shared" si="0"/>
        <v>0</v>
      </c>
      <c r="E8" s="101">
        <f t="shared" si="0"/>
        <v>0</v>
      </c>
      <c r="F8" s="101">
        <f t="shared" si="0"/>
        <v>0</v>
      </c>
      <c r="G8" s="101">
        <f t="shared" si="0"/>
        <v>0</v>
      </c>
      <c r="H8" s="101">
        <f t="shared" si="0"/>
        <v>0</v>
      </c>
      <c r="I8" s="101">
        <f t="shared" si="0"/>
        <v>0</v>
      </c>
      <c r="J8" s="101">
        <f t="shared" si="0"/>
        <v>0</v>
      </c>
      <c r="K8" s="101">
        <f t="shared" si="0"/>
        <v>0</v>
      </c>
      <c r="L8" s="101">
        <f t="shared" si="0"/>
        <v>0</v>
      </c>
      <c r="M8" s="101">
        <f t="shared" si="0"/>
        <v>0</v>
      </c>
      <c r="N8" s="101">
        <f t="shared" si="0"/>
        <v>0</v>
      </c>
      <c r="O8" s="101">
        <f>SUM(C8:N8)</f>
        <v>0</v>
      </c>
      <c r="P8" s="101">
        <f>IFERROR(O8/12,"")</f>
        <v>0</v>
      </c>
      <c r="Q8" s="28" t="s">
        <v>70</v>
      </c>
    </row>
    <row r="9" spans="1:17" ht="18" customHeight="1" x14ac:dyDescent="0.2">
      <c r="B9" s="144" t="s">
        <v>71</v>
      </c>
      <c r="C9" s="167">
        <f>IFERROR('1. Perfil'!C23,0)</f>
        <v>0</v>
      </c>
      <c r="D9" s="167">
        <f>IFERROR('1. Perfil'!C23,0)</f>
        <v>0</v>
      </c>
      <c r="E9" s="167">
        <f>IFERROR('1. Perfil'!C23,0)</f>
        <v>0</v>
      </c>
      <c r="F9" s="167">
        <f>IFERROR('1. Perfil'!C23,0)</f>
        <v>0</v>
      </c>
      <c r="G9" s="167">
        <f>IFERROR('1. Perfil'!C23,0)</f>
        <v>0</v>
      </c>
      <c r="H9" s="167">
        <f>IFERROR('1. Perfil'!C23,0)</f>
        <v>0</v>
      </c>
      <c r="I9" s="167">
        <f>IFERROR('1. Perfil'!C23,0)</f>
        <v>0</v>
      </c>
      <c r="J9" s="167">
        <f>IFERROR('1. Perfil'!C23,0)</f>
        <v>0</v>
      </c>
      <c r="K9" s="167">
        <f>IFERROR('1. Perfil'!C23,0)</f>
        <v>0</v>
      </c>
      <c r="L9" s="167">
        <f>IFERROR('1. Perfil'!C23,0)</f>
        <v>0</v>
      </c>
      <c r="M9" s="167">
        <f>IFERROR('1. Perfil'!C23,0)</f>
        <v>0</v>
      </c>
      <c r="N9" s="167">
        <f>IFERROR('1. Perfil'!C23,0)</f>
        <v>0</v>
      </c>
      <c r="O9" s="167">
        <f>IFERROR('1. Perfil'!C23,0)</f>
        <v>0</v>
      </c>
      <c r="P9" s="146" t="s">
        <v>72</v>
      </c>
      <c r="Q9" s="28" t="s">
        <v>73</v>
      </c>
    </row>
    <row r="10" spans="1:17" ht="19.5" customHeight="1" x14ac:dyDescent="0.2">
      <c r="B10" s="144" t="s">
        <v>74</v>
      </c>
      <c r="C10" s="151"/>
      <c r="D10" s="151"/>
      <c r="E10" s="151"/>
      <c r="F10" s="151"/>
      <c r="G10" s="151"/>
      <c r="H10" s="151"/>
      <c r="I10" s="151"/>
      <c r="J10" s="151"/>
      <c r="K10" s="151"/>
      <c r="L10" s="151"/>
      <c r="M10" s="151"/>
      <c r="N10" s="151"/>
      <c r="O10" s="171">
        <f>SUM(C10:N10)</f>
        <v>0</v>
      </c>
      <c r="P10" s="172">
        <f>IFERROR(O10/12,"")</f>
        <v>0</v>
      </c>
      <c r="Q10" s="28" t="s">
        <v>75</v>
      </c>
    </row>
    <row r="11" spans="1:17" ht="18" customHeight="1" x14ac:dyDescent="0.2">
      <c r="B11" s="152" t="s">
        <v>124</v>
      </c>
      <c r="C11" s="173">
        <f t="shared" ref="C11:N11" si="1">IFERROR(C9*C10,0)</f>
        <v>0</v>
      </c>
      <c r="D11" s="173">
        <f t="shared" si="1"/>
        <v>0</v>
      </c>
      <c r="E11" s="173">
        <f t="shared" si="1"/>
        <v>0</v>
      </c>
      <c r="F11" s="173">
        <f t="shared" si="1"/>
        <v>0</v>
      </c>
      <c r="G11" s="173">
        <f t="shared" si="1"/>
        <v>0</v>
      </c>
      <c r="H11" s="173">
        <f t="shared" si="1"/>
        <v>0</v>
      </c>
      <c r="I11" s="173">
        <f t="shared" si="1"/>
        <v>0</v>
      </c>
      <c r="J11" s="173">
        <f t="shared" si="1"/>
        <v>0</v>
      </c>
      <c r="K11" s="173">
        <f t="shared" si="1"/>
        <v>0</v>
      </c>
      <c r="L11" s="173">
        <f t="shared" si="1"/>
        <v>0</v>
      </c>
      <c r="M11" s="173">
        <f t="shared" si="1"/>
        <v>0</v>
      </c>
      <c r="N11" s="173">
        <f t="shared" si="1"/>
        <v>0</v>
      </c>
      <c r="O11" s="173">
        <f>SUM(C11:N11)</f>
        <v>0</v>
      </c>
      <c r="P11" s="173">
        <f>IFERROR(O11/12,"")</f>
        <v>0</v>
      </c>
      <c r="Q11" s="28" t="s">
        <v>125</v>
      </c>
    </row>
    <row r="12" spans="1:17" ht="27.75" customHeight="1" x14ac:dyDescent="0.2">
      <c r="A12" s="6"/>
      <c r="B12" s="153" t="s">
        <v>76</v>
      </c>
      <c r="C12" s="174">
        <f t="shared" ref="C12:N12" si="2">C8</f>
        <v>0</v>
      </c>
      <c r="D12" s="174">
        <f t="shared" si="2"/>
        <v>0</v>
      </c>
      <c r="E12" s="174">
        <f t="shared" si="2"/>
        <v>0</v>
      </c>
      <c r="F12" s="174">
        <f t="shared" si="2"/>
        <v>0</v>
      </c>
      <c r="G12" s="174">
        <f t="shared" si="2"/>
        <v>0</v>
      </c>
      <c r="H12" s="174">
        <f t="shared" si="2"/>
        <v>0</v>
      </c>
      <c r="I12" s="174">
        <f t="shared" si="2"/>
        <v>0</v>
      </c>
      <c r="J12" s="174">
        <f t="shared" si="2"/>
        <v>0</v>
      </c>
      <c r="K12" s="174">
        <f t="shared" si="2"/>
        <v>0</v>
      </c>
      <c r="L12" s="174">
        <f t="shared" si="2"/>
        <v>0</v>
      </c>
      <c r="M12" s="174">
        <f t="shared" si="2"/>
        <v>0</v>
      </c>
      <c r="N12" s="174">
        <f t="shared" si="2"/>
        <v>0</v>
      </c>
      <c r="O12" s="174">
        <f>SUM(C12:N12)</f>
        <v>0</v>
      </c>
      <c r="P12" s="174">
        <f>IFERROR(O12/12,"")</f>
        <v>0</v>
      </c>
      <c r="Q12" s="143"/>
    </row>
    <row r="13" spans="1:17" ht="21.75" customHeight="1" x14ac:dyDescent="0.2">
      <c r="A13" s="3"/>
      <c r="B13" s="24" t="s">
        <v>77</v>
      </c>
      <c r="C13" s="25"/>
      <c r="D13" s="25"/>
      <c r="E13" s="25"/>
      <c r="F13" s="25"/>
      <c r="G13" s="25"/>
      <c r="H13" s="25"/>
      <c r="I13" s="25"/>
      <c r="J13" s="25"/>
      <c r="K13" s="25"/>
      <c r="L13" s="25"/>
      <c r="M13" s="25"/>
      <c r="N13" s="25"/>
      <c r="O13" s="25"/>
      <c r="P13" s="25"/>
      <c r="Q13" s="25"/>
    </row>
    <row r="14" spans="1:17" ht="19.5" customHeight="1" x14ac:dyDescent="0.2">
      <c r="B14" s="144" t="s">
        <v>78</v>
      </c>
      <c r="C14" s="154"/>
      <c r="D14" s="154"/>
      <c r="E14" s="154"/>
      <c r="F14" s="154"/>
      <c r="G14" s="154"/>
      <c r="H14" s="154"/>
      <c r="I14" s="154"/>
      <c r="J14" s="154"/>
      <c r="K14" s="154"/>
      <c r="L14" s="154"/>
      <c r="M14" s="154"/>
      <c r="N14" s="154"/>
      <c r="O14" s="101">
        <f t="shared" ref="O14:O20" si="3">SUM(C14:N14)</f>
        <v>0</v>
      </c>
      <c r="P14" s="101">
        <f t="shared" ref="P14:P20" si="4">IFERROR(O14/12,"")</f>
        <v>0</v>
      </c>
      <c r="Q14" s="28" t="s">
        <v>79</v>
      </c>
    </row>
    <row r="15" spans="1:17" ht="19.5" customHeight="1" x14ac:dyDescent="0.2">
      <c r="B15" s="144" t="s">
        <v>80</v>
      </c>
      <c r="C15" s="154"/>
      <c r="D15" s="154"/>
      <c r="E15" s="154"/>
      <c r="F15" s="154"/>
      <c r="G15" s="154"/>
      <c r="H15" s="154"/>
      <c r="I15" s="154"/>
      <c r="J15" s="154"/>
      <c r="K15" s="154"/>
      <c r="L15" s="154"/>
      <c r="M15" s="154"/>
      <c r="N15" s="154"/>
      <c r="O15" s="101">
        <f t="shared" si="3"/>
        <v>0</v>
      </c>
      <c r="P15" s="101">
        <f t="shared" si="4"/>
        <v>0</v>
      </c>
      <c r="Q15" s="23"/>
    </row>
    <row r="16" spans="1:17" ht="19.5" customHeight="1" x14ac:dyDescent="0.2">
      <c r="B16" s="144" t="s">
        <v>81</v>
      </c>
      <c r="C16" s="154"/>
      <c r="D16" s="154"/>
      <c r="E16" s="154"/>
      <c r="F16" s="154"/>
      <c r="G16" s="154"/>
      <c r="H16" s="154"/>
      <c r="I16" s="154"/>
      <c r="J16" s="154"/>
      <c r="K16" s="154"/>
      <c r="L16" s="154"/>
      <c r="M16" s="154"/>
      <c r="N16" s="154"/>
      <c r="O16" s="101">
        <f t="shared" si="3"/>
        <v>0</v>
      </c>
      <c r="P16" s="101">
        <f t="shared" si="4"/>
        <v>0</v>
      </c>
      <c r="Q16" s="23"/>
    </row>
    <row r="17" spans="1:17" ht="19.5" customHeight="1" x14ac:dyDescent="0.2">
      <c r="B17" s="196" t="s">
        <v>82</v>
      </c>
      <c r="C17" s="197"/>
      <c r="D17" s="197"/>
      <c r="E17" s="197"/>
      <c r="F17" s="197"/>
      <c r="G17" s="197"/>
      <c r="H17" s="197"/>
      <c r="I17" s="197"/>
      <c r="J17" s="197"/>
      <c r="K17" s="197"/>
      <c r="L17" s="197"/>
      <c r="M17" s="197"/>
      <c r="N17" s="197"/>
      <c r="O17" s="198">
        <f t="shared" si="3"/>
        <v>0</v>
      </c>
      <c r="P17" s="198">
        <f t="shared" si="4"/>
        <v>0</v>
      </c>
      <c r="Q17" s="23"/>
    </row>
    <row r="18" spans="1:17" ht="19.5" customHeight="1" x14ac:dyDescent="0.2">
      <c r="B18" s="200" t="s">
        <v>210</v>
      </c>
      <c r="C18" s="197"/>
      <c r="D18" s="197"/>
      <c r="E18" s="197"/>
      <c r="F18" s="197"/>
      <c r="G18" s="197"/>
      <c r="H18" s="197"/>
      <c r="I18" s="197"/>
      <c r="J18" s="197"/>
      <c r="K18" s="197"/>
      <c r="L18" s="197"/>
      <c r="M18" s="197"/>
      <c r="N18" s="197"/>
      <c r="O18" s="198">
        <f t="shared" si="3"/>
        <v>0</v>
      </c>
      <c r="P18" s="198">
        <f t="shared" si="4"/>
        <v>0</v>
      </c>
      <c r="Q18" s="205" t="s">
        <v>211</v>
      </c>
    </row>
    <row r="19" spans="1:17" ht="19.5" customHeight="1" x14ac:dyDescent="0.2">
      <c r="B19" s="200" t="s">
        <v>210</v>
      </c>
      <c r="C19" s="197"/>
      <c r="D19" s="197"/>
      <c r="E19" s="197"/>
      <c r="F19" s="197"/>
      <c r="G19" s="197"/>
      <c r="H19" s="197"/>
      <c r="I19" s="197"/>
      <c r="J19" s="197"/>
      <c r="K19" s="197"/>
      <c r="L19" s="197"/>
      <c r="M19" s="197"/>
      <c r="N19" s="197"/>
      <c r="O19" s="198">
        <f t="shared" si="3"/>
        <v>0</v>
      </c>
      <c r="P19" s="198">
        <f t="shared" si="4"/>
        <v>0</v>
      </c>
      <c r="Q19" s="12"/>
    </row>
    <row r="20" spans="1:17" ht="19.5" customHeight="1" x14ac:dyDescent="0.2">
      <c r="B20" s="199" t="s">
        <v>210</v>
      </c>
      <c r="C20" s="154"/>
      <c r="D20" s="154"/>
      <c r="E20" s="154"/>
      <c r="F20" s="154"/>
      <c r="G20" s="154"/>
      <c r="H20" s="154"/>
      <c r="I20" s="154"/>
      <c r="J20" s="154"/>
      <c r="K20" s="154"/>
      <c r="L20" s="154"/>
      <c r="M20" s="154"/>
      <c r="N20" s="154"/>
      <c r="O20" s="101">
        <f t="shared" si="3"/>
        <v>0</v>
      </c>
      <c r="P20" s="101">
        <f t="shared" si="4"/>
        <v>0</v>
      </c>
      <c r="Q20" s="12"/>
    </row>
    <row r="21" spans="1:17" ht="21.75" customHeight="1" x14ac:dyDescent="0.2">
      <c r="A21" s="3"/>
      <c r="B21" s="24" t="s">
        <v>83</v>
      </c>
      <c r="C21" s="25"/>
      <c r="D21" s="25"/>
      <c r="E21" s="25"/>
      <c r="F21" s="25"/>
      <c r="G21" s="25"/>
      <c r="H21" s="25"/>
      <c r="I21" s="25"/>
      <c r="J21" s="25"/>
      <c r="K21" s="25"/>
      <c r="L21" s="25"/>
      <c r="M21" s="25"/>
      <c r="N21" s="25"/>
      <c r="O21" s="25"/>
      <c r="P21" s="25"/>
      <c r="Q21" s="25"/>
    </row>
    <row r="22" spans="1:17" ht="19.5" customHeight="1" x14ac:dyDescent="0.2">
      <c r="B22" s="144" t="s">
        <v>84</v>
      </c>
      <c r="C22" s="154"/>
      <c r="D22" s="154"/>
      <c r="E22" s="154"/>
      <c r="F22" s="154"/>
      <c r="G22" s="154"/>
      <c r="H22" s="155"/>
      <c r="I22" s="154"/>
      <c r="J22" s="154"/>
      <c r="K22" s="154"/>
      <c r="L22" s="154"/>
      <c r="M22" s="154"/>
      <c r="N22" s="155"/>
      <c r="O22" s="101">
        <f t="shared" ref="O22:O27" si="5">SUM(C22:N22)</f>
        <v>0</v>
      </c>
      <c r="P22" s="100">
        <f t="shared" ref="P22:P27" si="6">IFERROR(O22/12,"")</f>
        <v>0</v>
      </c>
      <c r="Q22" s="28" t="s">
        <v>85</v>
      </c>
    </row>
    <row r="23" spans="1:17" ht="19.5" customHeight="1" x14ac:dyDescent="0.2">
      <c r="B23" s="158" t="s">
        <v>86</v>
      </c>
      <c r="C23" s="154"/>
      <c r="D23" s="154"/>
      <c r="E23" s="154"/>
      <c r="F23" s="154"/>
      <c r="G23" s="154"/>
      <c r="H23" s="154"/>
      <c r="I23" s="154"/>
      <c r="J23" s="154"/>
      <c r="K23" s="154"/>
      <c r="L23" s="154"/>
      <c r="M23" s="154"/>
      <c r="N23" s="154"/>
      <c r="O23" s="101">
        <f t="shared" si="5"/>
        <v>0</v>
      </c>
      <c r="P23" s="101">
        <f t="shared" si="6"/>
        <v>0</v>
      </c>
      <c r="Q23" s="28" t="s">
        <v>87</v>
      </c>
    </row>
    <row r="24" spans="1:17" ht="19.5" customHeight="1" x14ac:dyDescent="0.2">
      <c r="B24" s="144" t="s">
        <v>88</v>
      </c>
      <c r="C24" s="154"/>
      <c r="D24" s="154"/>
      <c r="E24" s="154"/>
      <c r="F24" s="154"/>
      <c r="G24" s="154"/>
      <c r="H24" s="154"/>
      <c r="I24" s="154"/>
      <c r="J24" s="154"/>
      <c r="K24" s="154"/>
      <c r="L24" s="154"/>
      <c r="M24" s="154"/>
      <c r="N24" s="154"/>
      <c r="O24" s="101">
        <f t="shared" si="5"/>
        <v>0</v>
      </c>
      <c r="P24" s="101">
        <f t="shared" si="6"/>
        <v>0</v>
      </c>
      <c r="Q24" s="28" t="s">
        <v>89</v>
      </c>
    </row>
    <row r="25" spans="1:17" ht="19.5" customHeight="1" x14ac:dyDescent="0.2">
      <c r="B25" s="144" t="s">
        <v>90</v>
      </c>
      <c r="C25" s="154"/>
      <c r="D25" s="154"/>
      <c r="E25" s="155"/>
      <c r="F25" s="154"/>
      <c r="G25" s="156"/>
      <c r="H25" s="155"/>
      <c r="I25" s="154"/>
      <c r="J25" s="154"/>
      <c r="K25" s="155"/>
      <c r="L25" s="154"/>
      <c r="M25" s="154"/>
      <c r="N25" s="155"/>
      <c r="O25" s="101">
        <f t="shared" si="5"/>
        <v>0</v>
      </c>
      <c r="P25" s="100">
        <f t="shared" si="6"/>
        <v>0</v>
      </c>
      <c r="Q25" s="28" t="s">
        <v>91</v>
      </c>
    </row>
    <row r="26" spans="1:17" ht="19.5" customHeight="1" x14ac:dyDescent="0.2">
      <c r="B26" s="144" t="s">
        <v>92</v>
      </c>
      <c r="C26" s="154"/>
      <c r="D26" s="154"/>
      <c r="E26" s="154"/>
      <c r="F26" s="154"/>
      <c r="G26" s="154"/>
      <c r="H26" s="154"/>
      <c r="I26" s="154"/>
      <c r="J26" s="154"/>
      <c r="K26" s="154"/>
      <c r="L26" s="154"/>
      <c r="M26" s="154"/>
      <c r="N26" s="154"/>
      <c r="O26" s="101">
        <f t="shared" si="5"/>
        <v>0</v>
      </c>
      <c r="P26" s="101">
        <f t="shared" si="6"/>
        <v>0</v>
      </c>
      <c r="Q26" s="23"/>
    </row>
    <row r="27" spans="1:17" ht="19.5" customHeight="1" x14ac:dyDescent="0.2">
      <c r="B27" s="196" t="s">
        <v>93</v>
      </c>
      <c r="C27" s="197"/>
      <c r="D27" s="197"/>
      <c r="E27" s="197"/>
      <c r="F27" s="197"/>
      <c r="G27" s="197"/>
      <c r="H27" s="197"/>
      <c r="I27" s="197"/>
      <c r="J27" s="197"/>
      <c r="K27" s="197"/>
      <c r="L27" s="197"/>
      <c r="M27" s="197"/>
      <c r="N27" s="197"/>
      <c r="O27" s="198">
        <f t="shared" si="5"/>
        <v>0</v>
      </c>
      <c r="P27" s="198">
        <f t="shared" si="6"/>
        <v>0</v>
      </c>
      <c r="Q27" s="28" t="s">
        <v>94</v>
      </c>
    </row>
    <row r="28" spans="1:17" ht="19.5" customHeight="1" x14ac:dyDescent="0.2">
      <c r="B28" s="200" t="s">
        <v>210</v>
      </c>
      <c r="C28" s="197"/>
      <c r="D28" s="197"/>
      <c r="E28" s="197"/>
      <c r="F28" s="197"/>
      <c r="G28" s="197"/>
      <c r="H28" s="197"/>
      <c r="I28" s="197"/>
      <c r="J28" s="197"/>
      <c r="K28" s="197"/>
      <c r="L28" s="197"/>
      <c r="M28" s="197"/>
      <c r="N28" s="197"/>
      <c r="O28" s="198">
        <f>SUM(C28:N28)</f>
        <v>0</v>
      </c>
      <c r="P28" s="198">
        <f>IFERROR(O28/12,"")</f>
        <v>0</v>
      </c>
      <c r="Q28" s="204" t="s">
        <v>211</v>
      </c>
    </row>
    <row r="29" spans="1:17" ht="19.5" customHeight="1" x14ac:dyDescent="0.2">
      <c r="B29" s="200" t="s">
        <v>210</v>
      </c>
      <c r="C29" s="197"/>
      <c r="D29" s="197"/>
      <c r="E29" s="197"/>
      <c r="F29" s="197"/>
      <c r="G29" s="197"/>
      <c r="H29" s="197"/>
      <c r="I29" s="197"/>
      <c r="J29" s="197"/>
      <c r="K29" s="197"/>
      <c r="L29" s="197"/>
      <c r="M29" s="197"/>
      <c r="N29" s="197"/>
      <c r="O29" s="198">
        <f>SUM(C29:N29)</f>
        <v>0</v>
      </c>
      <c r="P29" s="198">
        <f>IFERROR(O29/12,"")</f>
        <v>0</v>
      </c>
      <c r="Q29" s="28"/>
    </row>
    <row r="30" spans="1:17" ht="19.5" customHeight="1" x14ac:dyDescent="0.2">
      <c r="B30" s="199" t="s">
        <v>210</v>
      </c>
      <c r="C30" s="154"/>
      <c r="D30" s="154"/>
      <c r="E30" s="154"/>
      <c r="F30" s="154"/>
      <c r="G30" s="154"/>
      <c r="H30" s="154"/>
      <c r="I30" s="154"/>
      <c r="J30" s="154"/>
      <c r="K30" s="154"/>
      <c r="L30" s="154"/>
      <c r="M30" s="154"/>
      <c r="N30" s="154"/>
      <c r="O30" s="101">
        <f>SUM(C30:N30)</f>
        <v>0</v>
      </c>
      <c r="P30" s="101">
        <f>IFERROR(O30/12,"")</f>
        <v>0</v>
      </c>
      <c r="Q30" s="28"/>
    </row>
    <row r="31" spans="1:17" ht="21.75" customHeight="1" x14ac:dyDescent="0.2">
      <c r="A31" s="1"/>
      <c r="B31" s="30" t="s">
        <v>95</v>
      </c>
      <c r="C31" s="31"/>
      <c r="D31" s="31"/>
      <c r="E31" s="31"/>
      <c r="F31" s="31"/>
      <c r="G31" s="31"/>
      <c r="H31" s="31"/>
      <c r="I31" s="31"/>
      <c r="J31" s="31"/>
      <c r="K31" s="31"/>
      <c r="L31" s="31"/>
      <c r="M31" s="31"/>
      <c r="N31" s="31"/>
      <c r="O31" s="31"/>
      <c r="P31" s="31"/>
      <c r="Q31" s="31"/>
    </row>
    <row r="32" spans="1:17" ht="19.5" customHeight="1" x14ac:dyDescent="0.2">
      <c r="B32" s="144" t="s">
        <v>96</v>
      </c>
      <c r="C32" s="175">
        <f>IFERROR('1. Perfil'!C22,0)</f>
        <v>0</v>
      </c>
      <c r="D32" s="176">
        <f t="shared" ref="D32:N32" si="7">$C$32</f>
        <v>0</v>
      </c>
      <c r="E32" s="176">
        <f t="shared" si="7"/>
        <v>0</v>
      </c>
      <c r="F32" s="176">
        <f t="shared" si="7"/>
        <v>0</v>
      </c>
      <c r="G32" s="176">
        <f t="shared" si="7"/>
        <v>0</v>
      </c>
      <c r="H32" s="176">
        <f t="shared" si="7"/>
        <v>0</v>
      </c>
      <c r="I32" s="176">
        <f t="shared" si="7"/>
        <v>0</v>
      </c>
      <c r="J32" s="176">
        <f t="shared" si="7"/>
        <v>0</v>
      </c>
      <c r="K32" s="176">
        <f t="shared" si="7"/>
        <v>0</v>
      </c>
      <c r="L32" s="176">
        <f t="shared" si="7"/>
        <v>0</v>
      </c>
      <c r="M32" s="176">
        <f t="shared" si="7"/>
        <v>0</v>
      </c>
      <c r="N32" s="176">
        <f t="shared" si="7"/>
        <v>0</v>
      </c>
      <c r="O32" s="101">
        <f t="shared" ref="O32:O39" si="8">SUM(C32:N32)</f>
        <v>0</v>
      </c>
      <c r="P32" s="100">
        <f t="shared" ref="P32:P39" si="9">IFERROR(O32/12,"")</f>
        <v>0</v>
      </c>
      <c r="Q32" s="28" t="s">
        <v>97</v>
      </c>
    </row>
    <row r="33" spans="1:17" ht="19.5" customHeight="1" x14ac:dyDescent="0.2">
      <c r="B33" s="144" t="s">
        <v>98</v>
      </c>
      <c r="C33" s="154">
        <v>0</v>
      </c>
      <c r="D33" s="176">
        <f t="shared" ref="D33:N33" si="10">$C$33</f>
        <v>0</v>
      </c>
      <c r="E33" s="176">
        <f t="shared" si="10"/>
        <v>0</v>
      </c>
      <c r="F33" s="176">
        <f t="shared" si="10"/>
        <v>0</v>
      </c>
      <c r="G33" s="176">
        <f t="shared" si="10"/>
        <v>0</v>
      </c>
      <c r="H33" s="176">
        <f t="shared" si="10"/>
        <v>0</v>
      </c>
      <c r="I33" s="176">
        <f t="shared" si="10"/>
        <v>0</v>
      </c>
      <c r="J33" s="176">
        <f t="shared" si="10"/>
        <v>0</v>
      </c>
      <c r="K33" s="176">
        <f t="shared" si="10"/>
        <v>0</v>
      </c>
      <c r="L33" s="176">
        <f t="shared" si="10"/>
        <v>0</v>
      </c>
      <c r="M33" s="176">
        <f t="shared" si="10"/>
        <v>0</v>
      </c>
      <c r="N33" s="176">
        <f t="shared" si="10"/>
        <v>0</v>
      </c>
      <c r="O33" s="101">
        <f t="shared" si="8"/>
        <v>0</v>
      </c>
      <c r="P33" s="101">
        <f t="shared" si="9"/>
        <v>0</v>
      </c>
      <c r="Q33" s="28" t="s">
        <v>99</v>
      </c>
    </row>
    <row r="34" spans="1:17" ht="22" customHeight="1" x14ac:dyDescent="0.2">
      <c r="B34" s="158" t="s">
        <v>126</v>
      </c>
      <c r="C34" s="154">
        <v>0</v>
      </c>
      <c r="D34" s="157"/>
      <c r="E34" s="157"/>
      <c r="F34" s="157"/>
      <c r="G34" s="157"/>
      <c r="H34" s="157"/>
      <c r="I34" s="157"/>
      <c r="J34" s="157"/>
      <c r="K34" s="157"/>
      <c r="L34" s="157"/>
      <c r="M34" s="157"/>
      <c r="N34" s="157"/>
      <c r="O34" s="101">
        <f t="shared" si="8"/>
        <v>0</v>
      </c>
      <c r="P34" s="101">
        <f t="shared" si="9"/>
        <v>0</v>
      </c>
      <c r="Q34" s="23"/>
    </row>
    <row r="35" spans="1:17" ht="19.5" customHeight="1" x14ac:dyDescent="0.2">
      <c r="B35" s="144" t="s">
        <v>101</v>
      </c>
      <c r="C35" s="154">
        <v>0</v>
      </c>
      <c r="D35" s="176">
        <f t="shared" ref="D35:N35" si="11">$C$35</f>
        <v>0</v>
      </c>
      <c r="E35" s="176">
        <f t="shared" si="11"/>
        <v>0</v>
      </c>
      <c r="F35" s="176">
        <f t="shared" si="11"/>
        <v>0</v>
      </c>
      <c r="G35" s="176">
        <f t="shared" si="11"/>
        <v>0</v>
      </c>
      <c r="H35" s="176">
        <f t="shared" si="11"/>
        <v>0</v>
      </c>
      <c r="I35" s="176">
        <f t="shared" si="11"/>
        <v>0</v>
      </c>
      <c r="J35" s="176">
        <f t="shared" si="11"/>
        <v>0</v>
      </c>
      <c r="K35" s="176">
        <f t="shared" si="11"/>
        <v>0</v>
      </c>
      <c r="L35" s="176">
        <f t="shared" si="11"/>
        <v>0</v>
      </c>
      <c r="M35" s="176">
        <f t="shared" si="11"/>
        <v>0</v>
      </c>
      <c r="N35" s="176">
        <f t="shared" si="11"/>
        <v>0</v>
      </c>
      <c r="O35" s="101">
        <f t="shared" si="8"/>
        <v>0</v>
      </c>
      <c r="P35" s="101">
        <f t="shared" si="9"/>
        <v>0</v>
      </c>
      <c r="Q35" s="23"/>
    </row>
    <row r="36" spans="1:17" ht="19.5" customHeight="1" x14ac:dyDescent="0.2">
      <c r="B36" s="200" t="s">
        <v>210</v>
      </c>
      <c r="C36" s="207">
        <f>IFERROR(C8*'1. Perfil'!C25,0)</f>
        <v>0</v>
      </c>
      <c r="D36" s="208">
        <f t="shared" ref="D36:N36" si="12">$C$36</f>
        <v>0</v>
      </c>
      <c r="E36" s="208">
        <f t="shared" si="12"/>
        <v>0</v>
      </c>
      <c r="F36" s="208">
        <f t="shared" si="12"/>
        <v>0</v>
      </c>
      <c r="G36" s="208">
        <f t="shared" si="12"/>
        <v>0</v>
      </c>
      <c r="H36" s="208">
        <f t="shared" si="12"/>
        <v>0</v>
      </c>
      <c r="I36" s="208">
        <f t="shared" si="12"/>
        <v>0</v>
      </c>
      <c r="J36" s="208">
        <f t="shared" si="12"/>
        <v>0</v>
      </c>
      <c r="K36" s="208">
        <f t="shared" si="12"/>
        <v>0</v>
      </c>
      <c r="L36" s="208">
        <f t="shared" si="12"/>
        <v>0</v>
      </c>
      <c r="M36" s="208">
        <f t="shared" si="12"/>
        <v>0</v>
      </c>
      <c r="N36" s="208">
        <f t="shared" si="12"/>
        <v>0</v>
      </c>
      <c r="O36" s="209">
        <f t="shared" si="8"/>
        <v>0</v>
      </c>
      <c r="P36" s="210">
        <f t="shared" si="9"/>
        <v>0</v>
      </c>
      <c r="Q36" s="204" t="s">
        <v>211</v>
      </c>
    </row>
    <row r="37" spans="1:17" ht="19.5" customHeight="1" x14ac:dyDescent="0.2">
      <c r="B37" s="200" t="s">
        <v>210</v>
      </c>
      <c r="C37" s="207"/>
      <c r="D37" s="208">
        <f t="shared" ref="D37:N37" si="13">$C$37</f>
        <v>0</v>
      </c>
      <c r="E37" s="208">
        <f t="shared" si="13"/>
        <v>0</v>
      </c>
      <c r="F37" s="208">
        <f t="shared" si="13"/>
        <v>0</v>
      </c>
      <c r="G37" s="208">
        <f t="shared" si="13"/>
        <v>0</v>
      </c>
      <c r="H37" s="208">
        <f t="shared" si="13"/>
        <v>0</v>
      </c>
      <c r="I37" s="208">
        <f t="shared" si="13"/>
        <v>0</v>
      </c>
      <c r="J37" s="208">
        <f t="shared" si="13"/>
        <v>0</v>
      </c>
      <c r="K37" s="208">
        <f t="shared" si="13"/>
        <v>0</v>
      </c>
      <c r="L37" s="208">
        <f t="shared" si="13"/>
        <v>0</v>
      </c>
      <c r="M37" s="208">
        <f t="shared" si="13"/>
        <v>0</v>
      </c>
      <c r="N37" s="208">
        <f t="shared" si="13"/>
        <v>0</v>
      </c>
      <c r="O37" s="209">
        <f t="shared" si="8"/>
        <v>0</v>
      </c>
      <c r="P37" s="210">
        <f t="shared" si="9"/>
        <v>0</v>
      </c>
      <c r="Q37" s="216"/>
    </row>
    <row r="38" spans="1:17" ht="19.5" customHeight="1" x14ac:dyDescent="0.2">
      <c r="B38" s="200" t="s">
        <v>210</v>
      </c>
      <c r="C38" s="207"/>
      <c r="D38" s="208">
        <f t="shared" ref="D38:N38" si="14">$C$38</f>
        <v>0</v>
      </c>
      <c r="E38" s="208">
        <f t="shared" si="14"/>
        <v>0</v>
      </c>
      <c r="F38" s="208">
        <f t="shared" si="14"/>
        <v>0</v>
      </c>
      <c r="G38" s="208">
        <f t="shared" si="14"/>
        <v>0</v>
      </c>
      <c r="H38" s="208">
        <f t="shared" si="14"/>
        <v>0</v>
      </c>
      <c r="I38" s="208">
        <f t="shared" si="14"/>
        <v>0</v>
      </c>
      <c r="J38" s="208">
        <f t="shared" si="14"/>
        <v>0</v>
      </c>
      <c r="K38" s="208">
        <f t="shared" si="14"/>
        <v>0</v>
      </c>
      <c r="L38" s="208">
        <f t="shared" si="14"/>
        <v>0</v>
      </c>
      <c r="M38" s="208">
        <f t="shared" si="14"/>
        <v>0</v>
      </c>
      <c r="N38" s="208">
        <f t="shared" si="14"/>
        <v>0</v>
      </c>
      <c r="O38" s="209">
        <f t="shared" si="8"/>
        <v>0</v>
      </c>
      <c r="P38" s="210">
        <f t="shared" si="9"/>
        <v>0</v>
      </c>
      <c r="Q38" s="28"/>
    </row>
    <row r="39" spans="1:17" ht="19.5" customHeight="1" x14ac:dyDescent="0.2">
      <c r="B39" s="211" t="s">
        <v>102</v>
      </c>
      <c r="C39" s="212">
        <f>IFERROR(C8*'1. Perfil'!C25,0)</f>
        <v>0</v>
      </c>
      <c r="D39" s="213">
        <f>IFERROR(D8*'1. Perfil'!C25,0)</f>
        <v>0</v>
      </c>
      <c r="E39" s="213">
        <f>IFERROR(E8*'1. Perfil'!C25,0)</f>
        <v>0</v>
      </c>
      <c r="F39" s="213">
        <f>IFERROR(F8*'1. Perfil'!C25,0)</f>
        <v>0</v>
      </c>
      <c r="G39" s="213">
        <f>IFERROR(G8*'1. Perfil'!C25,0)</f>
        <v>0</v>
      </c>
      <c r="H39" s="213">
        <f>IFERROR(H8*'1. Perfil'!C25,0)</f>
        <v>0</v>
      </c>
      <c r="I39" s="213">
        <f>IFERROR(I8*'1. Perfil'!C25,0)</f>
        <v>0</v>
      </c>
      <c r="J39" s="213">
        <f>IFERROR(J8*'1. Perfil'!C25,0)</f>
        <v>0</v>
      </c>
      <c r="K39" s="213">
        <f>IFERROR(K8*'1. Perfil'!C25,0)</f>
        <v>0</v>
      </c>
      <c r="L39" s="213">
        <f>IFERROR(L8*'1. Perfil'!C25,0)</f>
        <v>0</v>
      </c>
      <c r="M39" s="213">
        <f>IFERROR(M8*'1. Perfil'!C25,0)</f>
        <v>0</v>
      </c>
      <c r="N39" s="213">
        <f>IFERROR(N8*'1. Perfil'!C25,0)</f>
        <v>0</v>
      </c>
      <c r="O39" s="214">
        <f t="shared" si="8"/>
        <v>0</v>
      </c>
      <c r="P39" s="215">
        <f t="shared" si="9"/>
        <v>0</v>
      </c>
      <c r="Q39" s="28"/>
    </row>
    <row r="40" spans="1:17" ht="21.75" customHeight="1" x14ac:dyDescent="0.2">
      <c r="A40" s="3"/>
      <c r="B40" s="24" t="s">
        <v>103</v>
      </c>
      <c r="C40" s="25"/>
      <c r="D40" s="25"/>
      <c r="E40" s="25"/>
      <c r="F40" s="25"/>
      <c r="G40" s="25"/>
      <c r="H40" s="25"/>
      <c r="I40" s="25"/>
      <c r="J40" s="25"/>
      <c r="K40" s="25"/>
      <c r="L40" s="25"/>
      <c r="M40" s="25"/>
      <c r="N40" s="25"/>
      <c r="O40" s="25"/>
      <c r="P40" s="25"/>
      <c r="Q40" s="25"/>
    </row>
    <row r="41" spans="1:17" ht="19.5" customHeight="1" x14ac:dyDescent="0.2">
      <c r="B41" s="158" t="s">
        <v>199</v>
      </c>
      <c r="C41" s="154"/>
      <c r="D41" s="154"/>
      <c r="E41" s="154"/>
      <c r="F41" s="154"/>
      <c r="G41" s="154"/>
      <c r="H41" s="154"/>
      <c r="I41" s="154"/>
      <c r="J41" s="154"/>
      <c r="K41" s="154"/>
      <c r="L41" s="154"/>
      <c r="M41" s="154"/>
      <c r="N41" s="154"/>
      <c r="O41" s="101">
        <f t="shared" ref="O41:O46" si="15">SUM(C41:N41)</f>
        <v>0</v>
      </c>
      <c r="P41" s="101">
        <f t="shared" ref="P41:P46" si="16">IFERROR(O41/12,"")</f>
        <v>0</v>
      </c>
      <c r="Q41" s="28" t="s">
        <v>105</v>
      </c>
    </row>
    <row r="42" spans="1:17" ht="19.5" customHeight="1" x14ac:dyDescent="0.2">
      <c r="B42" s="144" t="s">
        <v>106</v>
      </c>
      <c r="C42" s="154"/>
      <c r="D42" s="154"/>
      <c r="E42" s="154"/>
      <c r="F42" s="154"/>
      <c r="G42" s="154"/>
      <c r="H42" s="154"/>
      <c r="I42" s="154"/>
      <c r="J42" s="154"/>
      <c r="K42" s="154"/>
      <c r="L42" s="154"/>
      <c r="M42" s="154"/>
      <c r="N42" s="154"/>
      <c r="O42" s="101">
        <f t="shared" si="15"/>
        <v>0</v>
      </c>
      <c r="P42" s="101">
        <f t="shared" si="16"/>
        <v>0</v>
      </c>
      <c r="Q42" s="23"/>
    </row>
    <row r="43" spans="1:17" ht="19.5" customHeight="1" x14ac:dyDescent="0.2">
      <c r="B43" s="196" t="s">
        <v>107</v>
      </c>
      <c r="C43" s="197"/>
      <c r="D43" s="197"/>
      <c r="E43" s="197"/>
      <c r="F43" s="197"/>
      <c r="G43" s="197"/>
      <c r="H43" s="197"/>
      <c r="I43" s="197"/>
      <c r="J43" s="197"/>
      <c r="K43" s="197"/>
      <c r="L43" s="197"/>
      <c r="M43" s="197"/>
      <c r="N43" s="197"/>
      <c r="O43" s="198">
        <f t="shared" si="15"/>
        <v>0</v>
      </c>
      <c r="P43" s="198">
        <f t="shared" si="16"/>
        <v>0</v>
      </c>
      <c r="Q43" s="23"/>
    </row>
    <row r="44" spans="1:17" ht="19.5" customHeight="1" x14ac:dyDescent="0.2">
      <c r="B44" s="200" t="s">
        <v>210</v>
      </c>
      <c r="C44" s="197"/>
      <c r="D44" s="197"/>
      <c r="E44" s="197"/>
      <c r="F44" s="197"/>
      <c r="G44" s="197"/>
      <c r="H44" s="197"/>
      <c r="I44" s="197"/>
      <c r="J44" s="197"/>
      <c r="K44" s="197"/>
      <c r="L44" s="197"/>
      <c r="M44" s="197"/>
      <c r="N44" s="197"/>
      <c r="O44" s="198">
        <f t="shared" si="15"/>
        <v>0</v>
      </c>
      <c r="P44" s="198">
        <f t="shared" si="16"/>
        <v>0</v>
      </c>
      <c r="Q44" s="205" t="s">
        <v>211</v>
      </c>
    </row>
    <row r="45" spans="1:17" ht="19.5" customHeight="1" x14ac:dyDescent="0.2">
      <c r="B45" s="200" t="s">
        <v>210</v>
      </c>
      <c r="C45" s="197"/>
      <c r="D45" s="197"/>
      <c r="E45" s="197"/>
      <c r="F45" s="197"/>
      <c r="G45" s="197"/>
      <c r="H45" s="197"/>
      <c r="I45" s="197"/>
      <c r="J45" s="197"/>
      <c r="K45" s="197"/>
      <c r="L45" s="197"/>
      <c r="M45" s="197"/>
      <c r="N45" s="197"/>
      <c r="O45" s="198">
        <f t="shared" si="15"/>
        <v>0</v>
      </c>
      <c r="P45" s="198">
        <f t="shared" si="16"/>
        <v>0</v>
      </c>
      <c r="Q45" s="23"/>
    </row>
    <row r="46" spans="1:17" ht="19.5" customHeight="1" x14ac:dyDescent="0.2">
      <c r="B46" s="199" t="s">
        <v>210</v>
      </c>
      <c r="C46" s="154"/>
      <c r="D46" s="154"/>
      <c r="E46" s="154"/>
      <c r="F46" s="154"/>
      <c r="G46" s="154"/>
      <c r="H46" s="154"/>
      <c r="I46" s="154"/>
      <c r="J46" s="154"/>
      <c r="K46" s="154"/>
      <c r="L46" s="154"/>
      <c r="M46" s="154"/>
      <c r="N46" s="154"/>
      <c r="O46" s="101">
        <f t="shared" si="15"/>
        <v>0</v>
      </c>
      <c r="P46" s="101">
        <f t="shared" si="16"/>
        <v>0</v>
      </c>
      <c r="Q46" s="23"/>
    </row>
    <row r="47" spans="1:17" ht="40" customHeight="1" thickBot="1" x14ac:dyDescent="0.25">
      <c r="A47" s="5"/>
      <c r="B47" s="159" t="s">
        <v>121</v>
      </c>
      <c r="C47" s="160"/>
      <c r="D47" s="160"/>
      <c r="E47" s="160"/>
      <c r="F47" s="160"/>
      <c r="G47" s="160"/>
      <c r="H47" s="160"/>
      <c r="I47" s="160"/>
      <c r="J47" s="160"/>
      <c r="K47" s="160"/>
      <c r="L47" s="160"/>
      <c r="M47" s="160"/>
      <c r="N47" s="160"/>
      <c r="O47" s="160"/>
      <c r="P47" s="160"/>
      <c r="Q47" s="160"/>
    </row>
    <row r="48" spans="1:17" ht="32" customHeight="1" thickTop="1" thickBot="1" x14ac:dyDescent="0.25">
      <c r="B48" s="161" t="s">
        <v>123</v>
      </c>
      <c r="C48" s="177">
        <f t="shared" ref="C48:N48" si="17">IFERROR(C12*VALUE(SUBSTITUTE($B$48,"%",""))/100,0)</f>
        <v>0</v>
      </c>
      <c r="D48" s="178">
        <f t="shared" si="17"/>
        <v>0</v>
      </c>
      <c r="E48" s="178">
        <f t="shared" si="17"/>
        <v>0</v>
      </c>
      <c r="F48" s="178">
        <f t="shared" si="17"/>
        <v>0</v>
      </c>
      <c r="G48" s="178">
        <f t="shared" si="17"/>
        <v>0</v>
      </c>
      <c r="H48" s="178">
        <f t="shared" si="17"/>
        <v>0</v>
      </c>
      <c r="I48" s="178">
        <f t="shared" si="17"/>
        <v>0</v>
      </c>
      <c r="J48" s="178">
        <f t="shared" si="17"/>
        <v>0</v>
      </c>
      <c r="K48" s="178">
        <f t="shared" si="17"/>
        <v>0</v>
      </c>
      <c r="L48" s="178">
        <f t="shared" si="17"/>
        <v>0</v>
      </c>
      <c r="M48" s="178">
        <f t="shared" si="17"/>
        <v>0</v>
      </c>
      <c r="N48" s="178">
        <f t="shared" si="17"/>
        <v>0</v>
      </c>
      <c r="O48" s="179">
        <f>SUM(C48:N48)</f>
        <v>0</v>
      </c>
      <c r="P48" s="179">
        <f>IFERROR(O48/12,"")</f>
        <v>0</v>
      </c>
      <c r="Q48" s="162" t="s">
        <v>122</v>
      </c>
    </row>
    <row r="49" spans="1:17" ht="25.5" customHeight="1" thickTop="1" x14ac:dyDescent="0.2">
      <c r="A49" s="7"/>
      <c r="B49" s="163" t="s">
        <v>108</v>
      </c>
      <c r="C49" s="180">
        <f t="shared" ref="C49:N49" si="18">SUM(C14:C20)+SUM(C22:C30)+SUM(C32:C39)+SUM(C41:C46)+C48</f>
        <v>0</v>
      </c>
      <c r="D49" s="180">
        <f t="shared" si="18"/>
        <v>0</v>
      </c>
      <c r="E49" s="180">
        <f t="shared" si="18"/>
        <v>0</v>
      </c>
      <c r="F49" s="180">
        <f t="shared" si="18"/>
        <v>0</v>
      </c>
      <c r="G49" s="180">
        <f t="shared" si="18"/>
        <v>0</v>
      </c>
      <c r="H49" s="180">
        <f t="shared" si="18"/>
        <v>0</v>
      </c>
      <c r="I49" s="180">
        <f t="shared" si="18"/>
        <v>0</v>
      </c>
      <c r="J49" s="180">
        <f t="shared" si="18"/>
        <v>0</v>
      </c>
      <c r="K49" s="180">
        <f t="shared" si="18"/>
        <v>0</v>
      </c>
      <c r="L49" s="180">
        <f t="shared" si="18"/>
        <v>0</v>
      </c>
      <c r="M49" s="180">
        <f t="shared" si="18"/>
        <v>0</v>
      </c>
      <c r="N49" s="180">
        <f t="shared" si="18"/>
        <v>0</v>
      </c>
      <c r="O49" s="180">
        <f>SUM(C49:N49)</f>
        <v>0</v>
      </c>
      <c r="P49" s="180">
        <f>IFERROR(O49/12,"")</f>
        <v>0</v>
      </c>
      <c r="Q49" s="164"/>
    </row>
    <row r="50" spans="1:17" ht="27.75" customHeight="1" x14ac:dyDescent="0.2">
      <c r="A50" s="1"/>
      <c r="B50" s="165" t="s">
        <v>109</v>
      </c>
      <c r="C50" s="181">
        <f t="shared" ref="C50:N50" si="19">C12-C49</f>
        <v>0</v>
      </c>
      <c r="D50" s="181">
        <f t="shared" si="19"/>
        <v>0</v>
      </c>
      <c r="E50" s="181">
        <f t="shared" si="19"/>
        <v>0</v>
      </c>
      <c r="F50" s="181">
        <f t="shared" si="19"/>
        <v>0</v>
      </c>
      <c r="G50" s="181">
        <f t="shared" si="19"/>
        <v>0</v>
      </c>
      <c r="H50" s="181">
        <f t="shared" si="19"/>
        <v>0</v>
      </c>
      <c r="I50" s="181">
        <f t="shared" si="19"/>
        <v>0</v>
      </c>
      <c r="J50" s="181">
        <f t="shared" si="19"/>
        <v>0</v>
      </c>
      <c r="K50" s="181">
        <f t="shared" si="19"/>
        <v>0</v>
      </c>
      <c r="L50" s="181">
        <f t="shared" si="19"/>
        <v>0</v>
      </c>
      <c r="M50" s="181">
        <f t="shared" si="19"/>
        <v>0</v>
      </c>
      <c r="N50" s="181">
        <f t="shared" si="19"/>
        <v>0</v>
      </c>
      <c r="O50" s="181">
        <f>SUM(C50:N50)</f>
        <v>0</v>
      </c>
      <c r="P50" s="181">
        <f>IFERROR(O50/12,"")</f>
        <v>0</v>
      </c>
      <c r="Q50" s="31"/>
    </row>
    <row r="51" spans="1:17" ht="19.5" customHeight="1" x14ac:dyDescent="0.2">
      <c r="B51" s="147" t="s">
        <v>110</v>
      </c>
      <c r="C51" s="182" t="str">
        <f t="shared" ref="C51:N51" si="20">IF(C50&gt;0,"✓","✗")</f>
        <v>✗</v>
      </c>
      <c r="D51" s="182" t="str">
        <f t="shared" si="20"/>
        <v>✗</v>
      </c>
      <c r="E51" s="182" t="str">
        <f t="shared" si="20"/>
        <v>✗</v>
      </c>
      <c r="F51" s="182" t="str">
        <f t="shared" si="20"/>
        <v>✗</v>
      </c>
      <c r="G51" s="182" t="str">
        <f t="shared" si="20"/>
        <v>✗</v>
      </c>
      <c r="H51" s="182" t="str">
        <f t="shared" si="20"/>
        <v>✗</v>
      </c>
      <c r="I51" s="182" t="str">
        <f t="shared" si="20"/>
        <v>✗</v>
      </c>
      <c r="J51" s="182" t="str">
        <f t="shared" si="20"/>
        <v>✗</v>
      </c>
      <c r="K51" s="182" t="str">
        <f t="shared" si="20"/>
        <v>✗</v>
      </c>
      <c r="L51" s="182" t="str">
        <f t="shared" si="20"/>
        <v>✗</v>
      </c>
      <c r="M51" s="182" t="str">
        <f t="shared" si="20"/>
        <v>✗</v>
      </c>
      <c r="N51" s="182" t="str">
        <f t="shared" si="20"/>
        <v>✗</v>
      </c>
      <c r="O51" s="23"/>
      <c r="P51" s="23"/>
      <c r="Q51" s="28" t="s">
        <v>111</v>
      </c>
    </row>
    <row r="52" spans="1:17" ht="19.5" customHeight="1" x14ac:dyDescent="0.2">
      <c r="B52" s="144" t="s">
        <v>112</v>
      </c>
      <c r="C52" s="183">
        <f>IFERROR('1. Perfil'!C22,0)</f>
        <v>0</v>
      </c>
      <c r="D52" s="176">
        <f t="shared" ref="D52:N52" si="21">$C$52</f>
        <v>0</v>
      </c>
      <c r="E52" s="176">
        <f t="shared" si="21"/>
        <v>0</v>
      </c>
      <c r="F52" s="176">
        <f t="shared" si="21"/>
        <v>0</v>
      </c>
      <c r="G52" s="176">
        <f t="shared" si="21"/>
        <v>0</v>
      </c>
      <c r="H52" s="176">
        <f t="shared" si="21"/>
        <v>0</v>
      </c>
      <c r="I52" s="176">
        <f t="shared" si="21"/>
        <v>0</v>
      </c>
      <c r="J52" s="176">
        <f t="shared" si="21"/>
        <v>0</v>
      </c>
      <c r="K52" s="176">
        <f t="shared" si="21"/>
        <v>0</v>
      </c>
      <c r="L52" s="176">
        <f t="shared" si="21"/>
        <v>0</v>
      </c>
      <c r="M52" s="176">
        <f t="shared" si="21"/>
        <v>0</v>
      </c>
      <c r="N52" s="176">
        <f t="shared" si="21"/>
        <v>0</v>
      </c>
      <c r="O52" s="101">
        <f>C52*12</f>
        <v>0</v>
      </c>
      <c r="P52" s="100">
        <f>C52</f>
        <v>0</v>
      </c>
      <c r="Q52" s="28" t="s">
        <v>113</v>
      </c>
    </row>
    <row r="53" spans="1:17" ht="25.5" customHeight="1" x14ac:dyDescent="0.2">
      <c r="A53" s="1"/>
      <c r="B53" s="166" t="s">
        <v>114</v>
      </c>
      <c r="C53" s="276" t="str">
        <f>IF(P50&gt;C52,"✓  SÍ — modelo vacacional es más rentable","✗  NO — revisar estrategia")</f>
        <v>✗  NO — revisar estrategia</v>
      </c>
      <c r="D53" s="277"/>
      <c r="E53" s="277"/>
      <c r="F53" s="277"/>
      <c r="G53" s="277"/>
      <c r="H53" s="277"/>
      <c r="I53" s="277"/>
      <c r="J53" s="277"/>
      <c r="K53" s="277"/>
      <c r="L53" s="277"/>
      <c r="M53" s="277"/>
      <c r="N53" s="277"/>
      <c r="O53" s="277"/>
      <c r="P53" s="277"/>
      <c r="Q53" s="31"/>
    </row>
    <row r="54" spans="1:17" ht="15.75" customHeight="1" x14ac:dyDescent="0.2">
      <c r="B54" s="23"/>
      <c r="C54" s="23"/>
      <c r="D54" s="23"/>
      <c r="E54" s="23"/>
      <c r="F54" s="23"/>
      <c r="G54" s="23"/>
      <c r="H54" s="23"/>
      <c r="I54" s="23"/>
      <c r="J54" s="23"/>
      <c r="K54" s="23"/>
      <c r="L54" s="23"/>
      <c r="M54" s="23"/>
      <c r="N54" s="23"/>
      <c r="O54" s="23"/>
      <c r="P54" s="23"/>
      <c r="Q54" s="23"/>
    </row>
    <row r="55" spans="1:17" ht="19.5" customHeight="1" x14ac:dyDescent="0.2">
      <c r="A55" s="1"/>
      <c r="B55" s="39" t="s">
        <v>44</v>
      </c>
      <c r="C55" s="31"/>
      <c r="D55" s="31"/>
      <c r="E55" s="31"/>
      <c r="F55" s="31"/>
      <c r="G55" s="31"/>
      <c r="H55" s="31"/>
      <c r="I55" s="31"/>
      <c r="J55" s="31"/>
      <c r="K55" s="31"/>
      <c r="L55" s="31"/>
      <c r="M55" s="31"/>
      <c r="N55" s="31"/>
      <c r="O55" s="31"/>
      <c r="P55" s="31"/>
      <c r="Q55" s="31"/>
    </row>
    <row r="56" spans="1:17" ht="15.75" customHeight="1" x14ac:dyDescent="0.2">
      <c r="B56" s="23"/>
      <c r="C56" s="23"/>
      <c r="D56" s="23"/>
      <c r="E56" s="23"/>
      <c r="F56" s="23"/>
      <c r="G56" s="23"/>
      <c r="H56" s="23"/>
      <c r="I56" s="23"/>
      <c r="J56" s="23"/>
      <c r="K56" s="23"/>
      <c r="L56" s="23"/>
      <c r="M56" s="23"/>
      <c r="N56" s="23"/>
      <c r="O56" s="23"/>
      <c r="P56" s="23"/>
      <c r="Q56" s="23"/>
    </row>
    <row r="57" spans="1:17" ht="15.75" customHeight="1" x14ac:dyDescent="0.2">
      <c r="B57" s="102" t="str">
        <f>IF('1. Perfil'!C30="","⚠ Falta fecha del estudio en '1. Perfil'!C30","📅 Fecha del estudio: "&amp;TEXT('1. Perfil'!C30,"dd/mmm/aaaa"))</f>
        <v>📅 Fecha del estudio: 11/jun/2026</v>
      </c>
      <c r="C57" s="23"/>
      <c r="D57" s="23"/>
      <c r="E57" s="23"/>
      <c r="F57" s="23"/>
      <c r="G57" s="23"/>
      <c r="H57" s="23"/>
      <c r="I57" s="23"/>
      <c r="J57" s="23"/>
      <c r="K57" s="23"/>
      <c r="L57" s="23"/>
      <c r="M57" s="23"/>
      <c r="N57" s="23"/>
      <c r="O57" s="23"/>
      <c r="P57" s="23"/>
      <c r="Q57" s="23"/>
    </row>
    <row r="58" spans="1:17" ht="15.75" customHeight="1" x14ac:dyDescent="0.2"/>
    <row r="59" spans="1:17" ht="15.75" customHeight="1" x14ac:dyDescent="0.2"/>
    <row r="60" spans="1:17" ht="15.75" customHeight="1" x14ac:dyDescent="0.2"/>
    <row r="61" spans="1:17" ht="15.75" customHeight="1" x14ac:dyDescent="0.2"/>
    <row r="62" spans="1:17" ht="15.75" customHeight="1" x14ac:dyDescent="0.2"/>
    <row r="63" spans="1:17" ht="15.75" customHeight="1" x14ac:dyDescent="0.2"/>
    <row r="64" spans="1: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sheetData>
  <sheetProtection sheet="1" objects="1" scenarios="1"/>
  <mergeCells count="1">
    <mergeCell ref="C53:P53"/>
  </mergeCells>
  <dataValidations count="1">
    <dataValidation type="list" allowBlank="1" showInputMessage="1" showErrorMessage="1" errorTitle="Opción inválida" error="Selecciona una opción del dropdown (0% a 50% en intervalos de 5%)." promptTitle="🔔 Reserva mensual" prompt="Selecciona el % del ingreso bruto a apartar como reserva mensual._x000a__x000a_Opciones: de 0% a 50% en intervalos de 5%._x000a__x000a_Recomendado: 10–15%" sqref="B48" xr:uid="{EB771F50-CEC9-8443-AFA0-12762F091B08}">
      <formula1>"0%,5%,10%,15%,20%,25%,30%,35%,40%,45%,50%"</formula1>
    </dataValidation>
  </dataValidations>
  <pageMargins left="0.75" right="0.75" top="1" bottom="1" header="0.511811023622047" footer="0.511811023622047"/>
  <pageSetup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36547-CB56-BC4D-8FE5-45691A825979}">
  <sheetPr>
    <tabColor rgb="FF0F6E56"/>
  </sheetPr>
  <dimension ref="A1:Q1012"/>
  <sheetViews>
    <sheetView showGridLines="0" topLeftCell="A3" zoomScaleNormal="100" workbookViewId="0">
      <pane xSplit="2" topLeftCell="C1" activePane="topRight" state="frozen"/>
      <selection activeCell="A5" sqref="A5"/>
      <selection pane="topRight" activeCell="T34" sqref="T34"/>
    </sheetView>
  </sheetViews>
  <sheetFormatPr baseColWidth="10" defaultColWidth="14.5" defaultRowHeight="15" x14ac:dyDescent="0.2"/>
  <cols>
    <col min="1" max="1" width="2" customWidth="1"/>
    <col min="2" max="2" width="34" customWidth="1"/>
    <col min="3" max="3" width="11" customWidth="1"/>
    <col min="4" max="14" width="9.5" customWidth="1"/>
    <col min="15" max="16" width="13" customWidth="1"/>
    <col min="17" max="17" width="26" customWidth="1"/>
  </cols>
  <sheetData>
    <row r="1" spans="1:17" ht="27.75" customHeight="1" x14ac:dyDescent="0.2">
      <c r="B1" s="41" t="s">
        <v>118</v>
      </c>
      <c r="C1" s="31"/>
      <c r="D1" s="31"/>
      <c r="E1" s="31"/>
      <c r="F1" s="31"/>
      <c r="G1" s="31"/>
      <c r="H1" s="31"/>
      <c r="I1" s="31"/>
      <c r="J1" s="31"/>
      <c r="K1" s="31"/>
      <c r="L1" s="31"/>
      <c r="M1" s="31"/>
      <c r="N1" s="31"/>
      <c r="O1" s="31"/>
      <c r="P1" s="31"/>
      <c r="Q1" s="31"/>
    </row>
    <row r="2" spans="1:17" ht="13.5" customHeight="1" x14ac:dyDescent="0.2">
      <c r="B2" s="104" t="s">
        <v>119</v>
      </c>
      <c r="C2" s="23"/>
      <c r="D2" s="23"/>
      <c r="E2" s="23"/>
      <c r="F2" s="23"/>
      <c r="G2" s="23"/>
      <c r="H2" s="23"/>
      <c r="I2" s="23"/>
      <c r="J2" s="23"/>
      <c r="K2" s="23"/>
      <c r="L2" s="23"/>
      <c r="M2" s="23"/>
      <c r="N2" s="23"/>
      <c r="O2" s="23"/>
      <c r="P2" s="23"/>
      <c r="Q2" s="23"/>
    </row>
    <row r="3" spans="1:17" ht="24" customHeight="1" x14ac:dyDescent="0.2">
      <c r="A3" s="3"/>
      <c r="B3" s="24" t="s">
        <v>57</v>
      </c>
      <c r="C3" s="140" t="s">
        <v>24</v>
      </c>
      <c r="D3" s="140" t="s">
        <v>25</v>
      </c>
      <c r="E3" s="140" t="s">
        <v>26</v>
      </c>
      <c r="F3" s="140" t="s">
        <v>27</v>
      </c>
      <c r="G3" s="140" t="s">
        <v>28</v>
      </c>
      <c r="H3" s="140" t="s">
        <v>29</v>
      </c>
      <c r="I3" s="140" t="s">
        <v>30</v>
      </c>
      <c r="J3" s="140" t="s">
        <v>31</v>
      </c>
      <c r="K3" s="140" t="s">
        <v>32</v>
      </c>
      <c r="L3" s="140" t="s">
        <v>33</v>
      </c>
      <c r="M3" s="140" t="s">
        <v>34</v>
      </c>
      <c r="N3" s="140" t="s">
        <v>35</v>
      </c>
      <c r="O3" s="141" t="s">
        <v>58</v>
      </c>
      <c r="P3" s="141" t="s">
        <v>59</v>
      </c>
      <c r="Q3" s="141" t="s">
        <v>60</v>
      </c>
    </row>
    <row r="4" spans="1:17" ht="21.75" customHeight="1" x14ac:dyDescent="0.2">
      <c r="A4" s="6"/>
      <c r="B4" s="142" t="s">
        <v>120</v>
      </c>
      <c r="C4" s="143"/>
      <c r="D4" s="143"/>
      <c r="E4" s="143"/>
      <c r="F4" s="143"/>
      <c r="G4" s="143"/>
      <c r="H4" s="143"/>
      <c r="I4" s="143"/>
      <c r="J4" s="143"/>
      <c r="K4" s="143"/>
      <c r="L4" s="143"/>
      <c r="M4" s="143"/>
      <c r="N4" s="143"/>
      <c r="O4" s="143"/>
      <c r="P4" s="143"/>
      <c r="Q4" s="143"/>
    </row>
    <row r="5" spans="1:17" ht="19.5" customHeight="1" x14ac:dyDescent="0.2">
      <c r="B5" s="144" t="s">
        <v>62</v>
      </c>
      <c r="C5" s="167" t="str">
        <f>IFERROR('2. Mercado'!M15,"")</f>
        <v/>
      </c>
      <c r="D5" s="167" t="str">
        <f>IFERROR('2. Mercado'!N15,"")</f>
        <v/>
      </c>
      <c r="E5" s="167" t="str">
        <f>IFERROR('2. Mercado'!O15,"")</f>
        <v/>
      </c>
      <c r="F5" s="167" t="str">
        <f>IFERROR('2. Mercado'!P15,"")</f>
        <v/>
      </c>
      <c r="G5" s="167" t="str">
        <f>IFERROR('2. Mercado'!Q15,"")</f>
        <v/>
      </c>
      <c r="H5" s="167" t="str">
        <f>IFERROR('2. Mercado'!R15,"")</f>
        <v/>
      </c>
      <c r="I5" s="167" t="str">
        <f>IFERROR('2. Mercado'!S15,"")</f>
        <v/>
      </c>
      <c r="J5" s="167" t="str">
        <f>IFERROR('2. Mercado'!T15,"")</f>
        <v/>
      </c>
      <c r="K5" s="167" t="str">
        <f>IFERROR('2. Mercado'!U15,"")</f>
        <v/>
      </c>
      <c r="L5" s="167" t="str">
        <f>IFERROR('2. Mercado'!V15,"")</f>
        <v/>
      </c>
      <c r="M5" s="167" t="str">
        <f>IFERROR('2. Mercado'!W15,"")</f>
        <v/>
      </c>
      <c r="N5" s="167" t="str">
        <f>IFERROR('2. Mercado'!X15,"")</f>
        <v/>
      </c>
      <c r="O5" s="101" t="str">
        <f>IFERROR(AVERAGE(C5:N5),"")</f>
        <v/>
      </c>
      <c r="P5" s="145" t="s">
        <v>63</v>
      </c>
      <c r="Q5" s="28" t="s">
        <v>64</v>
      </c>
    </row>
    <row r="6" spans="1:17" ht="19.5" customHeight="1" x14ac:dyDescent="0.2">
      <c r="B6" s="144" t="s">
        <v>65</v>
      </c>
      <c r="C6" s="168" t="str">
        <f>IFERROR('2. Mercado'!$Z$15,"")</f>
        <v/>
      </c>
      <c r="D6" s="168" t="str">
        <f>IFERROR('2. Mercado'!$Z$15,"")</f>
        <v/>
      </c>
      <c r="E6" s="168" t="str">
        <f>IFERROR('2. Mercado'!$Z$15,"")</f>
        <v/>
      </c>
      <c r="F6" s="168" t="str">
        <f>IFERROR('2. Mercado'!$Z$15,"")</f>
        <v/>
      </c>
      <c r="G6" s="168" t="str">
        <f>IFERROR('2. Mercado'!$Z$15,"")</f>
        <v/>
      </c>
      <c r="H6" s="168" t="str">
        <f>IFERROR('2. Mercado'!$Z$15,"")</f>
        <v/>
      </c>
      <c r="I6" s="168" t="str">
        <f>IFERROR('2. Mercado'!$Z$15,"")</f>
        <v/>
      </c>
      <c r="J6" s="168" t="str">
        <f>IFERROR('2. Mercado'!$Z$15,"")</f>
        <v/>
      </c>
      <c r="K6" s="168" t="str">
        <f>IFERROR('2. Mercado'!$Z$15,"")</f>
        <v/>
      </c>
      <c r="L6" s="168" t="str">
        <f>IFERROR('2. Mercado'!$Z$15,"")</f>
        <v/>
      </c>
      <c r="M6" s="168" t="str">
        <f>IFERROR('2. Mercado'!$Z$15,"")</f>
        <v/>
      </c>
      <c r="N6" s="168" t="str">
        <f>IFERROR('2. Mercado'!$Z$15,"")</f>
        <v/>
      </c>
      <c r="O6" s="169" t="str">
        <f>IFERROR(AVERAGE(C6:N6),"")</f>
        <v/>
      </c>
      <c r="P6" s="146" t="s">
        <v>63</v>
      </c>
      <c r="Q6" s="28" t="s">
        <v>66</v>
      </c>
    </row>
    <row r="7" spans="1:17" ht="15.75" customHeight="1" x14ac:dyDescent="0.2">
      <c r="B7" s="147" t="s">
        <v>67</v>
      </c>
      <c r="C7" s="148">
        <v>31</v>
      </c>
      <c r="D7" s="148">
        <v>28</v>
      </c>
      <c r="E7" s="148">
        <v>31</v>
      </c>
      <c r="F7" s="148">
        <v>30</v>
      </c>
      <c r="G7" s="148">
        <v>31</v>
      </c>
      <c r="H7" s="148">
        <v>30</v>
      </c>
      <c r="I7" s="148">
        <v>31</v>
      </c>
      <c r="J7" s="148">
        <v>31</v>
      </c>
      <c r="K7" s="148">
        <v>30</v>
      </c>
      <c r="L7" s="148">
        <v>31</v>
      </c>
      <c r="M7" s="148">
        <v>30</v>
      </c>
      <c r="N7" s="148">
        <v>31</v>
      </c>
      <c r="O7" s="149">
        <v>365</v>
      </c>
      <c r="P7" s="170">
        <f>O7/12</f>
        <v>30.416666666666668</v>
      </c>
      <c r="Q7" s="28" t="s">
        <v>68</v>
      </c>
    </row>
    <row r="8" spans="1:17" ht="19.5" customHeight="1" x14ac:dyDescent="0.2">
      <c r="B8" s="150" t="s">
        <v>69</v>
      </c>
      <c r="C8" s="101">
        <f t="shared" ref="C8:N8" si="0">IFERROR(C5*C6*C7,0)</f>
        <v>0</v>
      </c>
      <c r="D8" s="101">
        <f t="shared" si="0"/>
        <v>0</v>
      </c>
      <c r="E8" s="101">
        <f t="shared" si="0"/>
        <v>0</v>
      </c>
      <c r="F8" s="101">
        <f t="shared" si="0"/>
        <v>0</v>
      </c>
      <c r="G8" s="101">
        <f t="shared" si="0"/>
        <v>0</v>
      </c>
      <c r="H8" s="101">
        <f t="shared" si="0"/>
        <v>0</v>
      </c>
      <c r="I8" s="101">
        <f t="shared" si="0"/>
        <v>0</v>
      </c>
      <c r="J8" s="101">
        <f t="shared" si="0"/>
        <v>0</v>
      </c>
      <c r="K8" s="101">
        <f t="shared" si="0"/>
        <v>0</v>
      </c>
      <c r="L8" s="101">
        <f t="shared" si="0"/>
        <v>0</v>
      </c>
      <c r="M8" s="101">
        <f t="shared" si="0"/>
        <v>0</v>
      </c>
      <c r="N8" s="101">
        <f t="shared" si="0"/>
        <v>0</v>
      </c>
      <c r="O8" s="101">
        <f>SUM(C8:N8)</f>
        <v>0</v>
      </c>
      <c r="P8" s="101">
        <f>IFERROR(O8/12,"")</f>
        <v>0</v>
      </c>
      <c r="Q8" s="28" t="s">
        <v>70</v>
      </c>
    </row>
    <row r="9" spans="1:17" ht="18" customHeight="1" x14ac:dyDescent="0.2">
      <c r="B9" s="144" t="s">
        <v>71</v>
      </c>
      <c r="C9" s="167">
        <f>IFERROR('1. Perfil'!C23,0)</f>
        <v>0</v>
      </c>
      <c r="D9" s="167">
        <f>IFERROR('1. Perfil'!C23,0)</f>
        <v>0</v>
      </c>
      <c r="E9" s="167">
        <f>IFERROR('1. Perfil'!C23,0)</f>
        <v>0</v>
      </c>
      <c r="F9" s="167">
        <f>IFERROR('1. Perfil'!C23,0)</f>
        <v>0</v>
      </c>
      <c r="G9" s="167">
        <f>IFERROR('1. Perfil'!C23,0)</f>
        <v>0</v>
      </c>
      <c r="H9" s="167">
        <f>IFERROR('1. Perfil'!C23,0)</f>
        <v>0</v>
      </c>
      <c r="I9" s="167">
        <f>IFERROR('1. Perfil'!C23,0)</f>
        <v>0</v>
      </c>
      <c r="J9" s="167">
        <f>IFERROR('1. Perfil'!C23,0)</f>
        <v>0</v>
      </c>
      <c r="K9" s="167">
        <f>IFERROR('1. Perfil'!C23,0)</f>
        <v>0</v>
      </c>
      <c r="L9" s="167">
        <f>IFERROR('1. Perfil'!C23,0)</f>
        <v>0</v>
      </c>
      <c r="M9" s="167">
        <f>IFERROR('1. Perfil'!C23,0)</f>
        <v>0</v>
      </c>
      <c r="N9" s="167">
        <f>IFERROR('1. Perfil'!C23,0)</f>
        <v>0</v>
      </c>
      <c r="O9" s="167">
        <f>IFERROR('1. Perfil'!C23,0)</f>
        <v>0</v>
      </c>
      <c r="P9" s="146" t="s">
        <v>72</v>
      </c>
      <c r="Q9" s="28" t="s">
        <v>73</v>
      </c>
    </row>
    <row r="10" spans="1:17" ht="19.5" customHeight="1" x14ac:dyDescent="0.2">
      <c r="B10" s="144" t="s">
        <v>74</v>
      </c>
      <c r="C10" s="192">
        <f>IFERROR('4a. Factibilidad'!C10,0)</f>
        <v>0</v>
      </c>
      <c r="D10" s="192">
        <f>IFERROR('4a. Factibilidad'!D10,0)</f>
        <v>0</v>
      </c>
      <c r="E10" s="192">
        <f>IFERROR('4a. Factibilidad'!E10,0)</f>
        <v>0</v>
      </c>
      <c r="F10" s="192">
        <f>IFERROR('4a. Factibilidad'!F10,0)</f>
        <v>0</v>
      </c>
      <c r="G10" s="192">
        <f>IFERROR('4a. Factibilidad'!G10,0)</f>
        <v>0</v>
      </c>
      <c r="H10" s="192">
        <f>IFERROR('4a. Factibilidad'!H10,0)</f>
        <v>0</v>
      </c>
      <c r="I10" s="192">
        <f>IFERROR('4a. Factibilidad'!I10,0)</f>
        <v>0</v>
      </c>
      <c r="J10" s="192">
        <f>IFERROR('4a. Factibilidad'!J10,0)</f>
        <v>0</v>
      </c>
      <c r="K10" s="192">
        <f>IFERROR('4a. Factibilidad'!K10,0)</f>
        <v>0</v>
      </c>
      <c r="L10" s="192">
        <f>IFERROR('4a. Factibilidad'!L10,0)</f>
        <v>0</v>
      </c>
      <c r="M10" s="192">
        <f>IFERROR('4a. Factibilidad'!M10,0)</f>
        <v>0</v>
      </c>
      <c r="N10" s="192">
        <f>IFERROR('4a. Factibilidad'!N10,0)</f>
        <v>0</v>
      </c>
      <c r="O10" s="171">
        <f>SUM(C10:N10)</f>
        <v>0</v>
      </c>
      <c r="P10" s="172">
        <f>IFERROR(O10/12,"")</f>
        <v>0</v>
      </c>
      <c r="Q10" s="28" t="s">
        <v>75</v>
      </c>
    </row>
    <row r="11" spans="1:17" ht="18" customHeight="1" x14ac:dyDescent="0.2">
      <c r="B11" s="152" t="s">
        <v>124</v>
      </c>
      <c r="C11" s="173">
        <f t="shared" ref="C11:N11" si="1">IFERROR(C9*C10,0)</f>
        <v>0</v>
      </c>
      <c r="D11" s="173">
        <f t="shared" si="1"/>
        <v>0</v>
      </c>
      <c r="E11" s="173">
        <f t="shared" si="1"/>
        <v>0</v>
      </c>
      <c r="F11" s="173">
        <f t="shared" si="1"/>
        <v>0</v>
      </c>
      <c r="G11" s="173">
        <f t="shared" si="1"/>
        <v>0</v>
      </c>
      <c r="H11" s="173">
        <f t="shared" si="1"/>
        <v>0</v>
      </c>
      <c r="I11" s="173">
        <f t="shared" si="1"/>
        <v>0</v>
      </c>
      <c r="J11" s="173">
        <f t="shared" si="1"/>
        <v>0</v>
      </c>
      <c r="K11" s="173">
        <f t="shared" si="1"/>
        <v>0</v>
      </c>
      <c r="L11" s="173">
        <f t="shared" si="1"/>
        <v>0</v>
      </c>
      <c r="M11" s="173">
        <f t="shared" si="1"/>
        <v>0</v>
      </c>
      <c r="N11" s="173">
        <f t="shared" si="1"/>
        <v>0</v>
      </c>
      <c r="O11" s="173">
        <f>SUM(C11:N11)</f>
        <v>0</v>
      </c>
      <c r="P11" s="173">
        <f>IFERROR(O11/12,"")</f>
        <v>0</v>
      </c>
      <c r="Q11" s="28" t="s">
        <v>125</v>
      </c>
    </row>
    <row r="12" spans="1:17" ht="27.75" customHeight="1" x14ac:dyDescent="0.2">
      <c r="A12" s="6"/>
      <c r="B12" s="153" t="s">
        <v>76</v>
      </c>
      <c r="C12" s="174">
        <f t="shared" ref="C12:N12" si="2">C8</f>
        <v>0</v>
      </c>
      <c r="D12" s="174">
        <f t="shared" si="2"/>
        <v>0</v>
      </c>
      <c r="E12" s="174">
        <f t="shared" si="2"/>
        <v>0</v>
      </c>
      <c r="F12" s="174">
        <f t="shared" si="2"/>
        <v>0</v>
      </c>
      <c r="G12" s="174">
        <f t="shared" si="2"/>
        <v>0</v>
      </c>
      <c r="H12" s="174">
        <f t="shared" si="2"/>
        <v>0</v>
      </c>
      <c r="I12" s="174">
        <f t="shared" si="2"/>
        <v>0</v>
      </c>
      <c r="J12" s="174">
        <f t="shared" si="2"/>
        <v>0</v>
      </c>
      <c r="K12" s="174">
        <f t="shared" si="2"/>
        <v>0</v>
      </c>
      <c r="L12" s="174">
        <f t="shared" si="2"/>
        <v>0</v>
      </c>
      <c r="M12" s="174">
        <f t="shared" si="2"/>
        <v>0</v>
      </c>
      <c r="N12" s="174">
        <f t="shared" si="2"/>
        <v>0</v>
      </c>
      <c r="O12" s="174">
        <f>SUM(C12:N12)</f>
        <v>0</v>
      </c>
      <c r="P12" s="174">
        <f>IFERROR(O12/12,"")</f>
        <v>0</v>
      </c>
      <c r="Q12" s="143"/>
    </row>
    <row r="13" spans="1:17" ht="21.75" customHeight="1" x14ac:dyDescent="0.2">
      <c r="A13" s="3"/>
      <c r="B13" s="24" t="s">
        <v>77</v>
      </c>
      <c r="C13" s="25"/>
      <c r="D13" s="25"/>
      <c r="E13" s="25"/>
      <c r="F13" s="25"/>
      <c r="G13" s="25"/>
      <c r="H13" s="25"/>
      <c r="I13" s="25"/>
      <c r="J13" s="25"/>
      <c r="K13" s="25"/>
      <c r="L13" s="25"/>
      <c r="M13" s="25"/>
      <c r="N13" s="25"/>
      <c r="O13" s="25"/>
      <c r="P13" s="25"/>
      <c r="Q13" s="25"/>
    </row>
    <row r="14" spans="1:17" ht="19.5" customHeight="1" x14ac:dyDescent="0.2">
      <c r="B14" s="144" t="s">
        <v>78</v>
      </c>
      <c r="C14" s="193">
        <f>IFERROR('4a. Factibilidad'!C14,0)</f>
        <v>0</v>
      </c>
      <c r="D14" s="193">
        <f>IFERROR('4a. Factibilidad'!D14,0)</f>
        <v>0</v>
      </c>
      <c r="E14" s="193">
        <f>IFERROR('4a. Factibilidad'!E14,0)</f>
        <v>0</v>
      </c>
      <c r="F14" s="193">
        <f>IFERROR('4a. Factibilidad'!F14,0)</f>
        <v>0</v>
      </c>
      <c r="G14" s="193">
        <f>IFERROR('4a. Factibilidad'!G14,0)</f>
        <v>0</v>
      </c>
      <c r="H14" s="193">
        <f>IFERROR('4a. Factibilidad'!H14,0)</f>
        <v>0</v>
      </c>
      <c r="I14" s="193">
        <f>IFERROR('4a. Factibilidad'!I14,0)</f>
        <v>0</v>
      </c>
      <c r="J14" s="193">
        <f>IFERROR('4a. Factibilidad'!J14,0)</f>
        <v>0</v>
      </c>
      <c r="K14" s="193">
        <f>IFERROR('4a. Factibilidad'!K14,0)</f>
        <v>0</v>
      </c>
      <c r="L14" s="193">
        <f>IFERROR('4a. Factibilidad'!L14,0)</f>
        <v>0</v>
      </c>
      <c r="M14" s="193">
        <f>IFERROR('4a. Factibilidad'!M14,0)</f>
        <v>0</v>
      </c>
      <c r="N14" s="193">
        <f>IFERROR('4a. Factibilidad'!N14,0)</f>
        <v>0</v>
      </c>
      <c r="O14" s="101">
        <f t="shared" ref="O14:O20" si="3">SUM(C14:N14)</f>
        <v>0</v>
      </c>
      <c r="P14" s="101">
        <f t="shared" ref="P14:P20" si="4">IFERROR(O14/12,"")</f>
        <v>0</v>
      </c>
      <c r="Q14" s="28" t="s">
        <v>79</v>
      </c>
    </row>
    <row r="15" spans="1:17" ht="19.5" customHeight="1" x14ac:dyDescent="0.2">
      <c r="B15" s="144" t="s">
        <v>80</v>
      </c>
      <c r="C15" s="193">
        <f>IFERROR('4a. Factibilidad'!C15,0)</f>
        <v>0</v>
      </c>
      <c r="D15" s="193">
        <f>IFERROR('4a. Factibilidad'!D15,0)</f>
        <v>0</v>
      </c>
      <c r="E15" s="193">
        <f>IFERROR('4a. Factibilidad'!E15,0)</f>
        <v>0</v>
      </c>
      <c r="F15" s="193">
        <f>IFERROR('4a. Factibilidad'!F15,0)</f>
        <v>0</v>
      </c>
      <c r="G15" s="193">
        <f>IFERROR('4a. Factibilidad'!G15,0)</f>
        <v>0</v>
      </c>
      <c r="H15" s="193">
        <f>IFERROR('4a. Factibilidad'!H15,0)</f>
        <v>0</v>
      </c>
      <c r="I15" s="193">
        <f>IFERROR('4a. Factibilidad'!I15,0)</f>
        <v>0</v>
      </c>
      <c r="J15" s="193">
        <f>IFERROR('4a. Factibilidad'!J15,0)</f>
        <v>0</v>
      </c>
      <c r="K15" s="193">
        <f>IFERROR('4a. Factibilidad'!K15,0)</f>
        <v>0</v>
      </c>
      <c r="L15" s="193">
        <f>IFERROR('4a. Factibilidad'!L15,0)</f>
        <v>0</v>
      </c>
      <c r="M15" s="193">
        <f>IFERROR('4a. Factibilidad'!M15,0)</f>
        <v>0</v>
      </c>
      <c r="N15" s="193">
        <f>IFERROR('4a. Factibilidad'!N15,0)</f>
        <v>0</v>
      </c>
      <c r="O15" s="101">
        <f t="shared" si="3"/>
        <v>0</v>
      </c>
      <c r="P15" s="101">
        <f t="shared" si="4"/>
        <v>0</v>
      </c>
      <c r="Q15" s="23"/>
    </row>
    <row r="16" spans="1:17" ht="19.5" customHeight="1" x14ac:dyDescent="0.2">
      <c r="B16" s="144" t="s">
        <v>81</v>
      </c>
      <c r="C16" s="193">
        <f>IFERROR('4a. Factibilidad'!C16,0)</f>
        <v>0</v>
      </c>
      <c r="D16" s="193">
        <f>IFERROR('4a. Factibilidad'!D16,0)</f>
        <v>0</v>
      </c>
      <c r="E16" s="193">
        <f>IFERROR('4a. Factibilidad'!E16,0)</f>
        <v>0</v>
      </c>
      <c r="F16" s="193">
        <f>IFERROR('4a. Factibilidad'!F16,0)</f>
        <v>0</v>
      </c>
      <c r="G16" s="193">
        <f>IFERROR('4a. Factibilidad'!G16,0)</f>
        <v>0</v>
      </c>
      <c r="H16" s="193">
        <f>IFERROR('4a. Factibilidad'!H16,0)</f>
        <v>0</v>
      </c>
      <c r="I16" s="193">
        <f>IFERROR('4a. Factibilidad'!I16,0)</f>
        <v>0</v>
      </c>
      <c r="J16" s="193">
        <f>IFERROR('4a. Factibilidad'!J16,0)</f>
        <v>0</v>
      </c>
      <c r="K16" s="193">
        <f>IFERROR('4a. Factibilidad'!K16,0)</f>
        <v>0</v>
      </c>
      <c r="L16" s="193">
        <f>IFERROR('4a. Factibilidad'!L16,0)</f>
        <v>0</v>
      </c>
      <c r="M16" s="193">
        <f>IFERROR('4a. Factibilidad'!M16,0)</f>
        <v>0</v>
      </c>
      <c r="N16" s="193">
        <f>IFERROR('4a. Factibilidad'!N16,0)</f>
        <v>0</v>
      </c>
      <c r="O16" s="101">
        <f t="shared" si="3"/>
        <v>0</v>
      </c>
      <c r="P16" s="101">
        <f t="shared" si="4"/>
        <v>0</v>
      </c>
      <c r="Q16" s="23"/>
    </row>
    <row r="17" spans="1:17" ht="19.5" customHeight="1" x14ac:dyDescent="0.2">
      <c r="B17" s="196" t="s">
        <v>82</v>
      </c>
      <c r="C17" s="201">
        <f>IFERROR('4a. Factibilidad'!C17,0)</f>
        <v>0</v>
      </c>
      <c r="D17" s="201">
        <f>IFERROR('4a. Factibilidad'!D17,0)</f>
        <v>0</v>
      </c>
      <c r="E17" s="201">
        <f>IFERROR('4a. Factibilidad'!E17,0)</f>
        <v>0</v>
      </c>
      <c r="F17" s="201">
        <f>IFERROR('4a. Factibilidad'!F17,0)</f>
        <v>0</v>
      </c>
      <c r="G17" s="201">
        <f>IFERROR('4a. Factibilidad'!G17,0)</f>
        <v>0</v>
      </c>
      <c r="H17" s="201">
        <f>IFERROR('4a. Factibilidad'!H17,0)</f>
        <v>0</v>
      </c>
      <c r="I17" s="201">
        <f>IFERROR('4a. Factibilidad'!I17,0)</f>
        <v>0</v>
      </c>
      <c r="J17" s="201">
        <f>IFERROR('4a. Factibilidad'!J17,0)</f>
        <v>0</v>
      </c>
      <c r="K17" s="201">
        <f>IFERROR('4a. Factibilidad'!K17,0)</f>
        <v>0</v>
      </c>
      <c r="L17" s="201">
        <f>IFERROR('4a. Factibilidad'!L17,0)</f>
        <v>0</v>
      </c>
      <c r="M17" s="201">
        <f>IFERROR('4a. Factibilidad'!M17,0)</f>
        <v>0</v>
      </c>
      <c r="N17" s="201">
        <f>IFERROR('4a. Factibilidad'!N17,0)</f>
        <v>0</v>
      </c>
      <c r="O17" s="198">
        <f t="shared" si="3"/>
        <v>0</v>
      </c>
      <c r="P17" s="198">
        <f t="shared" si="4"/>
        <v>0</v>
      </c>
      <c r="Q17" s="23"/>
    </row>
    <row r="18" spans="1:17" ht="19.5" customHeight="1" x14ac:dyDescent="0.2">
      <c r="B18" s="203" t="str">
        <f>'4a. Factibilidad'!B18</f>
        <v>(agregar concepto)</v>
      </c>
      <c r="C18" s="201">
        <f>IFERROR('4a. Factibilidad'!C18,0)</f>
        <v>0</v>
      </c>
      <c r="D18" s="201">
        <f>IFERROR('4a. Factibilidad'!D18,0)</f>
        <v>0</v>
      </c>
      <c r="E18" s="201">
        <f>IFERROR('4a. Factibilidad'!E18,0)</f>
        <v>0</v>
      </c>
      <c r="F18" s="201">
        <f>IFERROR('4a. Factibilidad'!F18,0)</f>
        <v>0</v>
      </c>
      <c r="G18" s="201">
        <f>IFERROR('4a. Factibilidad'!G18,0)</f>
        <v>0</v>
      </c>
      <c r="H18" s="201">
        <f>IFERROR('4a. Factibilidad'!H18,0)</f>
        <v>0</v>
      </c>
      <c r="I18" s="201">
        <f>IFERROR('4a. Factibilidad'!I18,0)</f>
        <v>0</v>
      </c>
      <c r="J18" s="201">
        <f>IFERROR('4a. Factibilidad'!J18,0)</f>
        <v>0</v>
      </c>
      <c r="K18" s="201">
        <f>IFERROR('4a. Factibilidad'!K18,0)</f>
        <v>0</v>
      </c>
      <c r="L18" s="201">
        <f>IFERROR('4a. Factibilidad'!L18,0)</f>
        <v>0</v>
      </c>
      <c r="M18" s="201">
        <f>IFERROR('4a. Factibilidad'!M18,0)</f>
        <v>0</v>
      </c>
      <c r="N18" s="201">
        <f>IFERROR('4a. Factibilidad'!N18,0)</f>
        <v>0</v>
      </c>
      <c r="O18" s="198">
        <f t="shared" si="3"/>
        <v>0</v>
      </c>
      <c r="P18" s="198">
        <f t="shared" si="4"/>
        <v>0</v>
      </c>
      <c r="Q18" s="23"/>
    </row>
    <row r="19" spans="1:17" ht="19.5" customHeight="1" x14ac:dyDescent="0.2">
      <c r="B19" s="203" t="str">
        <f>'4a. Factibilidad'!B19</f>
        <v>(agregar concepto)</v>
      </c>
      <c r="C19" s="201">
        <f>IFERROR('4a. Factibilidad'!C19,0)</f>
        <v>0</v>
      </c>
      <c r="D19" s="201">
        <f>IFERROR('4a. Factibilidad'!D19,0)</f>
        <v>0</v>
      </c>
      <c r="E19" s="201">
        <f>IFERROR('4a. Factibilidad'!E19,0)</f>
        <v>0</v>
      </c>
      <c r="F19" s="201">
        <f>IFERROR('4a. Factibilidad'!F19,0)</f>
        <v>0</v>
      </c>
      <c r="G19" s="201">
        <f>IFERROR('4a. Factibilidad'!G19,0)</f>
        <v>0</v>
      </c>
      <c r="H19" s="201">
        <f>IFERROR('4a. Factibilidad'!H19,0)</f>
        <v>0</v>
      </c>
      <c r="I19" s="201">
        <f>IFERROR('4a. Factibilidad'!I19,0)</f>
        <v>0</v>
      </c>
      <c r="J19" s="201">
        <f>IFERROR('4a. Factibilidad'!J19,0)</f>
        <v>0</v>
      </c>
      <c r="K19" s="201">
        <f>IFERROR('4a. Factibilidad'!K19,0)</f>
        <v>0</v>
      </c>
      <c r="L19" s="201">
        <f>IFERROR('4a. Factibilidad'!L19,0)</f>
        <v>0</v>
      </c>
      <c r="M19" s="201">
        <f>IFERROR('4a. Factibilidad'!M19,0)</f>
        <v>0</v>
      </c>
      <c r="N19" s="201">
        <f>IFERROR('4a. Factibilidad'!N19,0)</f>
        <v>0</v>
      </c>
      <c r="O19" s="198">
        <f t="shared" si="3"/>
        <v>0</v>
      </c>
      <c r="P19" s="198">
        <f t="shared" si="4"/>
        <v>0</v>
      </c>
      <c r="Q19" s="23"/>
    </row>
    <row r="20" spans="1:17" ht="19.5" customHeight="1" x14ac:dyDescent="0.2">
      <c r="B20" s="202" t="str">
        <f>'4a. Factibilidad'!B20</f>
        <v>(agregar concepto)</v>
      </c>
      <c r="C20" s="193">
        <f>IFERROR('4a. Factibilidad'!C20,0)</f>
        <v>0</v>
      </c>
      <c r="D20" s="193">
        <f>IFERROR('4a. Factibilidad'!D20,0)</f>
        <v>0</v>
      </c>
      <c r="E20" s="193">
        <f>IFERROR('4a. Factibilidad'!E20,0)</f>
        <v>0</v>
      </c>
      <c r="F20" s="193">
        <f>IFERROR('4a. Factibilidad'!F20,0)</f>
        <v>0</v>
      </c>
      <c r="G20" s="193">
        <f>IFERROR('4a. Factibilidad'!G20,0)</f>
        <v>0</v>
      </c>
      <c r="H20" s="193">
        <f>IFERROR('4a. Factibilidad'!H20,0)</f>
        <v>0</v>
      </c>
      <c r="I20" s="193">
        <f>IFERROR('4a. Factibilidad'!I20,0)</f>
        <v>0</v>
      </c>
      <c r="J20" s="193">
        <f>IFERROR('4a. Factibilidad'!J20,0)</f>
        <v>0</v>
      </c>
      <c r="K20" s="193">
        <f>IFERROR('4a. Factibilidad'!K20,0)</f>
        <v>0</v>
      </c>
      <c r="L20" s="193">
        <f>IFERROR('4a. Factibilidad'!L20,0)</f>
        <v>0</v>
      </c>
      <c r="M20" s="193">
        <f>IFERROR('4a. Factibilidad'!M20,0)</f>
        <v>0</v>
      </c>
      <c r="N20" s="193">
        <f>IFERROR('4a. Factibilidad'!N20,0)</f>
        <v>0</v>
      </c>
      <c r="O20" s="101">
        <f t="shared" si="3"/>
        <v>0</v>
      </c>
      <c r="P20" s="101">
        <f t="shared" si="4"/>
        <v>0</v>
      </c>
      <c r="Q20" s="23"/>
    </row>
    <row r="21" spans="1:17" ht="21.75" customHeight="1" x14ac:dyDescent="0.2">
      <c r="A21" s="3"/>
      <c r="B21" s="24" t="s">
        <v>83</v>
      </c>
      <c r="C21" s="25"/>
      <c r="D21" s="25"/>
      <c r="E21" s="25"/>
      <c r="F21" s="25"/>
      <c r="G21" s="25"/>
      <c r="H21" s="25"/>
      <c r="I21" s="25"/>
      <c r="J21" s="25"/>
      <c r="K21" s="25"/>
      <c r="L21" s="25"/>
      <c r="M21" s="25"/>
      <c r="N21" s="25"/>
      <c r="O21" s="25"/>
      <c r="P21" s="25"/>
      <c r="Q21" s="25"/>
    </row>
    <row r="22" spans="1:17" ht="19.5" customHeight="1" x14ac:dyDescent="0.2">
      <c r="B22" s="144" t="s">
        <v>84</v>
      </c>
      <c r="C22" s="193">
        <f>IFERROR('4a. Factibilidad'!C22,0)</f>
        <v>0</v>
      </c>
      <c r="D22" s="193">
        <f>IFERROR('4a. Factibilidad'!D22,0)</f>
        <v>0</v>
      </c>
      <c r="E22" s="193">
        <f>IFERROR('4a. Factibilidad'!E22,0)</f>
        <v>0</v>
      </c>
      <c r="F22" s="193">
        <f>IFERROR('4a. Factibilidad'!F22,0)</f>
        <v>0</v>
      </c>
      <c r="G22" s="193">
        <f>IFERROR('4a. Factibilidad'!G22,0)</f>
        <v>0</v>
      </c>
      <c r="H22" s="194">
        <f>IFERROR('4a. Factibilidad'!H22,0)</f>
        <v>0</v>
      </c>
      <c r="I22" s="193">
        <f>IFERROR('4a. Factibilidad'!I22,0)</f>
        <v>0</v>
      </c>
      <c r="J22" s="193">
        <f>IFERROR('4a. Factibilidad'!J22,0)</f>
        <v>0</v>
      </c>
      <c r="K22" s="193">
        <f>IFERROR('4a. Factibilidad'!K22,0)</f>
        <v>0</v>
      </c>
      <c r="L22" s="193">
        <f>IFERROR('4a. Factibilidad'!L22,0)</f>
        <v>0</v>
      </c>
      <c r="M22" s="193">
        <f>IFERROR('4a. Factibilidad'!M22,0)</f>
        <v>0</v>
      </c>
      <c r="N22" s="194">
        <f>IFERROR('4a. Factibilidad'!N22,0)</f>
        <v>0</v>
      </c>
      <c r="O22" s="101">
        <f t="shared" ref="O22:O27" si="5">SUM(C22:N22)</f>
        <v>0</v>
      </c>
      <c r="P22" s="100">
        <f t="shared" ref="P22:P27" si="6">IFERROR(O22/12,"")</f>
        <v>0</v>
      </c>
      <c r="Q22" s="28" t="s">
        <v>85</v>
      </c>
    </row>
    <row r="23" spans="1:17" ht="19.5" customHeight="1" x14ac:dyDescent="0.2">
      <c r="B23" s="144" t="s">
        <v>86</v>
      </c>
      <c r="C23" s="193">
        <f>IFERROR('4a. Factibilidad'!C23,0)</f>
        <v>0</v>
      </c>
      <c r="D23" s="193">
        <f>IFERROR('4a. Factibilidad'!D23,0)</f>
        <v>0</v>
      </c>
      <c r="E23" s="193">
        <f>IFERROR('4a. Factibilidad'!E23,0)</f>
        <v>0</v>
      </c>
      <c r="F23" s="193">
        <f>IFERROR('4a. Factibilidad'!F23,0)</f>
        <v>0</v>
      </c>
      <c r="G23" s="193">
        <f>IFERROR('4a. Factibilidad'!G23,0)</f>
        <v>0</v>
      </c>
      <c r="H23" s="193">
        <f>IFERROR('4a. Factibilidad'!H23,0)</f>
        <v>0</v>
      </c>
      <c r="I23" s="193">
        <f>IFERROR('4a. Factibilidad'!I23,0)</f>
        <v>0</v>
      </c>
      <c r="J23" s="193">
        <f>IFERROR('4a. Factibilidad'!J23,0)</f>
        <v>0</v>
      </c>
      <c r="K23" s="193">
        <f>IFERROR('4a. Factibilidad'!K23,0)</f>
        <v>0</v>
      </c>
      <c r="L23" s="193">
        <f>IFERROR('4a. Factibilidad'!L23,0)</f>
        <v>0</v>
      </c>
      <c r="M23" s="193">
        <f>IFERROR('4a. Factibilidad'!M23,0)</f>
        <v>0</v>
      </c>
      <c r="N23" s="193">
        <f>IFERROR('4a. Factibilidad'!N23,0)</f>
        <v>0</v>
      </c>
      <c r="O23" s="101">
        <f t="shared" si="5"/>
        <v>0</v>
      </c>
      <c r="P23" s="101">
        <f t="shared" si="6"/>
        <v>0</v>
      </c>
      <c r="Q23" s="28" t="s">
        <v>87</v>
      </c>
    </row>
    <row r="24" spans="1:17" ht="19.5" customHeight="1" x14ac:dyDescent="0.2">
      <c r="B24" s="144" t="s">
        <v>88</v>
      </c>
      <c r="C24" s="193">
        <f>IFERROR('4a. Factibilidad'!C24,0)</f>
        <v>0</v>
      </c>
      <c r="D24" s="193">
        <f>IFERROR('4a. Factibilidad'!D24,0)</f>
        <v>0</v>
      </c>
      <c r="E24" s="193">
        <f>IFERROR('4a. Factibilidad'!E24,0)</f>
        <v>0</v>
      </c>
      <c r="F24" s="193">
        <f>IFERROR('4a. Factibilidad'!F24,0)</f>
        <v>0</v>
      </c>
      <c r="G24" s="193">
        <f>IFERROR('4a. Factibilidad'!G24,0)</f>
        <v>0</v>
      </c>
      <c r="H24" s="193">
        <f>IFERROR('4a. Factibilidad'!H24,0)</f>
        <v>0</v>
      </c>
      <c r="I24" s="193">
        <f>IFERROR('4a. Factibilidad'!I24,0)</f>
        <v>0</v>
      </c>
      <c r="J24" s="193">
        <f>IFERROR('4a. Factibilidad'!J24,0)</f>
        <v>0</v>
      </c>
      <c r="K24" s="193">
        <f>IFERROR('4a. Factibilidad'!K24,0)</f>
        <v>0</v>
      </c>
      <c r="L24" s="193">
        <f>IFERROR('4a. Factibilidad'!L24,0)</f>
        <v>0</v>
      </c>
      <c r="M24" s="193">
        <f>IFERROR('4a. Factibilidad'!M24,0)</f>
        <v>0</v>
      </c>
      <c r="N24" s="193">
        <f>IFERROR('4a. Factibilidad'!N24,0)</f>
        <v>0</v>
      </c>
      <c r="O24" s="101">
        <f t="shared" si="5"/>
        <v>0</v>
      </c>
      <c r="P24" s="101">
        <f t="shared" si="6"/>
        <v>0</v>
      </c>
      <c r="Q24" s="28" t="s">
        <v>89</v>
      </c>
    </row>
    <row r="25" spans="1:17" ht="19.5" customHeight="1" x14ac:dyDescent="0.2">
      <c r="B25" s="144" t="s">
        <v>90</v>
      </c>
      <c r="C25" s="193">
        <f>IFERROR('4a. Factibilidad'!C25,0)</f>
        <v>0</v>
      </c>
      <c r="D25" s="193">
        <f>IFERROR('4a. Factibilidad'!D25,0)</f>
        <v>0</v>
      </c>
      <c r="E25" s="194">
        <f>IFERROR('4a. Factibilidad'!E25,0)</f>
        <v>0</v>
      </c>
      <c r="F25" s="193">
        <f>IFERROR('4a. Factibilidad'!F25,0)</f>
        <v>0</v>
      </c>
      <c r="G25" s="195">
        <f>IFERROR('4a. Factibilidad'!G25,0)</f>
        <v>0</v>
      </c>
      <c r="H25" s="194">
        <f>IFERROR('4a. Factibilidad'!H25,0)</f>
        <v>0</v>
      </c>
      <c r="I25" s="193">
        <f>IFERROR('4a. Factibilidad'!I25,0)</f>
        <v>0</v>
      </c>
      <c r="J25" s="193">
        <f>IFERROR('4a. Factibilidad'!J25,0)</f>
        <v>0</v>
      </c>
      <c r="K25" s="194">
        <f>IFERROR('4a. Factibilidad'!K25,0)</f>
        <v>0</v>
      </c>
      <c r="L25" s="193">
        <f>IFERROR('4a. Factibilidad'!L25,0)</f>
        <v>0</v>
      </c>
      <c r="M25" s="193">
        <f>IFERROR('4a. Factibilidad'!M25,0)</f>
        <v>0</v>
      </c>
      <c r="N25" s="194">
        <f>IFERROR('4a. Factibilidad'!N25,0)</f>
        <v>0</v>
      </c>
      <c r="O25" s="101">
        <f t="shared" si="5"/>
        <v>0</v>
      </c>
      <c r="P25" s="100">
        <f t="shared" si="6"/>
        <v>0</v>
      </c>
      <c r="Q25" s="28" t="s">
        <v>91</v>
      </c>
    </row>
    <row r="26" spans="1:17" ht="19.5" customHeight="1" x14ac:dyDescent="0.2">
      <c r="B26" s="144" t="s">
        <v>92</v>
      </c>
      <c r="C26" s="193">
        <f>IFERROR('4a. Factibilidad'!C26,0)</f>
        <v>0</v>
      </c>
      <c r="D26" s="193">
        <f>IFERROR('4a. Factibilidad'!D26,0)</f>
        <v>0</v>
      </c>
      <c r="E26" s="193">
        <f>IFERROR('4a. Factibilidad'!E26,0)</f>
        <v>0</v>
      </c>
      <c r="F26" s="193">
        <f>IFERROR('4a. Factibilidad'!F26,0)</f>
        <v>0</v>
      </c>
      <c r="G26" s="193">
        <f>IFERROR('4a. Factibilidad'!G26,0)</f>
        <v>0</v>
      </c>
      <c r="H26" s="193">
        <f>IFERROR('4a. Factibilidad'!H26,0)</f>
        <v>0</v>
      </c>
      <c r="I26" s="193">
        <f>IFERROR('4a. Factibilidad'!I26,0)</f>
        <v>0</v>
      </c>
      <c r="J26" s="193">
        <f>IFERROR('4a. Factibilidad'!J26,0)</f>
        <v>0</v>
      </c>
      <c r="K26" s="193">
        <f>IFERROR('4a. Factibilidad'!K26,0)</f>
        <v>0</v>
      </c>
      <c r="L26" s="193">
        <f>IFERROR('4a. Factibilidad'!L26,0)</f>
        <v>0</v>
      </c>
      <c r="M26" s="193">
        <f>IFERROR('4a. Factibilidad'!M26,0)</f>
        <v>0</v>
      </c>
      <c r="N26" s="193">
        <f>IFERROR('4a. Factibilidad'!N26,0)</f>
        <v>0</v>
      </c>
      <c r="O26" s="101">
        <f t="shared" si="5"/>
        <v>0</v>
      </c>
      <c r="P26" s="101">
        <f t="shared" si="6"/>
        <v>0</v>
      </c>
      <c r="Q26" s="23"/>
    </row>
    <row r="27" spans="1:17" ht="19.5" customHeight="1" x14ac:dyDescent="0.2">
      <c r="B27" s="196" t="s">
        <v>93</v>
      </c>
      <c r="C27" s="201">
        <f>IFERROR('4a. Factibilidad'!C27,0)</f>
        <v>0</v>
      </c>
      <c r="D27" s="201">
        <f>IFERROR('4a. Factibilidad'!D27,0)</f>
        <v>0</v>
      </c>
      <c r="E27" s="201">
        <f>IFERROR('4a. Factibilidad'!E27,0)</f>
        <v>0</v>
      </c>
      <c r="F27" s="201">
        <f>IFERROR('4a. Factibilidad'!F27,0)</f>
        <v>0</v>
      </c>
      <c r="G27" s="201">
        <f>IFERROR('4a. Factibilidad'!G27,0)</f>
        <v>0</v>
      </c>
      <c r="H27" s="201">
        <f>IFERROR('4a. Factibilidad'!H27,0)</f>
        <v>0</v>
      </c>
      <c r="I27" s="201">
        <f>IFERROR('4a. Factibilidad'!I27,0)</f>
        <v>0</v>
      </c>
      <c r="J27" s="201">
        <f>IFERROR('4a. Factibilidad'!J27,0)</f>
        <v>0</v>
      </c>
      <c r="K27" s="201">
        <f>IFERROR('4a. Factibilidad'!K27,0)</f>
        <v>0</v>
      </c>
      <c r="L27" s="201">
        <f>IFERROR('4a. Factibilidad'!L27,0)</f>
        <v>0</v>
      </c>
      <c r="M27" s="201">
        <f>IFERROR('4a. Factibilidad'!M27,0)</f>
        <v>0</v>
      </c>
      <c r="N27" s="201">
        <f>IFERROR('4a. Factibilidad'!N27,0)</f>
        <v>0</v>
      </c>
      <c r="O27" s="198">
        <f t="shared" si="5"/>
        <v>0</v>
      </c>
      <c r="P27" s="198">
        <f t="shared" si="6"/>
        <v>0</v>
      </c>
      <c r="Q27" s="28" t="s">
        <v>94</v>
      </c>
    </row>
    <row r="28" spans="1:17" ht="19.5" customHeight="1" x14ac:dyDescent="0.2">
      <c r="B28" s="203" t="str">
        <f>'4a. Factibilidad'!B28</f>
        <v>(agregar concepto)</v>
      </c>
      <c r="C28" s="201">
        <f>IFERROR('4a. Factibilidad'!C28,0)</f>
        <v>0</v>
      </c>
      <c r="D28" s="201">
        <f>IFERROR('4a. Factibilidad'!D28,0)</f>
        <v>0</v>
      </c>
      <c r="E28" s="201">
        <f>IFERROR('4a. Factibilidad'!E28,0)</f>
        <v>0</v>
      </c>
      <c r="F28" s="201">
        <f>IFERROR('4a. Factibilidad'!F28,0)</f>
        <v>0</v>
      </c>
      <c r="G28" s="201">
        <f>IFERROR('4a. Factibilidad'!G28,0)</f>
        <v>0</v>
      </c>
      <c r="H28" s="201">
        <f>IFERROR('4a. Factibilidad'!H28,0)</f>
        <v>0</v>
      </c>
      <c r="I28" s="201">
        <f>IFERROR('4a. Factibilidad'!I28,0)</f>
        <v>0</v>
      </c>
      <c r="J28" s="201">
        <f>IFERROR('4a. Factibilidad'!J28,0)</f>
        <v>0</v>
      </c>
      <c r="K28" s="201">
        <f>IFERROR('4a. Factibilidad'!K28,0)</f>
        <v>0</v>
      </c>
      <c r="L28" s="201">
        <f>IFERROR('4a. Factibilidad'!L28,0)</f>
        <v>0</v>
      </c>
      <c r="M28" s="201">
        <f>IFERROR('4a. Factibilidad'!M28,0)</f>
        <v>0</v>
      </c>
      <c r="N28" s="201">
        <f>IFERROR('4a. Factibilidad'!N28,0)</f>
        <v>0</v>
      </c>
      <c r="O28" s="198">
        <f>SUM(C28:N28)</f>
        <v>0</v>
      </c>
      <c r="P28" s="198">
        <f>IFERROR(O28/12,"")</f>
        <v>0</v>
      </c>
      <c r="Q28" s="28"/>
    </row>
    <row r="29" spans="1:17" ht="19.5" customHeight="1" x14ac:dyDescent="0.2">
      <c r="B29" s="203" t="str">
        <f>'4a. Factibilidad'!B29</f>
        <v>(agregar concepto)</v>
      </c>
      <c r="C29" s="201">
        <f>IFERROR('4a. Factibilidad'!C29,0)</f>
        <v>0</v>
      </c>
      <c r="D29" s="201">
        <f>IFERROR('4a. Factibilidad'!D29,0)</f>
        <v>0</v>
      </c>
      <c r="E29" s="201">
        <f>IFERROR('4a. Factibilidad'!E29,0)</f>
        <v>0</v>
      </c>
      <c r="F29" s="201">
        <f>IFERROR('4a. Factibilidad'!F29,0)</f>
        <v>0</v>
      </c>
      <c r="G29" s="201">
        <f>IFERROR('4a. Factibilidad'!G29,0)</f>
        <v>0</v>
      </c>
      <c r="H29" s="201">
        <f>IFERROR('4a. Factibilidad'!H29,0)</f>
        <v>0</v>
      </c>
      <c r="I29" s="201">
        <f>IFERROR('4a. Factibilidad'!I29,0)</f>
        <v>0</v>
      </c>
      <c r="J29" s="201">
        <f>IFERROR('4a. Factibilidad'!J29,0)</f>
        <v>0</v>
      </c>
      <c r="K29" s="201">
        <f>IFERROR('4a. Factibilidad'!K29,0)</f>
        <v>0</v>
      </c>
      <c r="L29" s="201">
        <f>IFERROR('4a. Factibilidad'!L29,0)</f>
        <v>0</v>
      </c>
      <c r="M29" s="201">
        <f>IFERROR('4a. Factibilidad'!M29,0)</f>
        <v>0</v>
      </c>
      <c r="N29" s="201">
        <f>IFERROR('4a. Factibilidad'!N29,0)</f>
        <v>0</v>
      </c>
      <c r="O29" s="198">
        <f>SUM(C29:N29)</f>
        <v>0</v>
      </c>
      <c r="P29" s="198">
        <f>IFERROR(O29/12,"")</f>
        <v>0</v>
      </c>
      <c r="Q29" s="28"/>
    </row>
    <row r="30" spans="1:17" ht="19.5" customHeight="1" x14ac:dyDescent="0.2">
      <c r="B30" s="202" t="str">
        <f>'4a. Factibilidad'!B30</f>
        <v>(agregar concepto)</v>
      </c>
      <c r="C30" s="193">
        <f>IFERROR('4a. Factibilidad'!C30,0)</f>
        <v>0</v>
      </c>
      <c r="D30" s="193">
        <f>IFERROR('4a. Factibilidad'!D30,0)</f>
        <v>0</v>
      </c>
      <c r="E30" s="193">
        <f>IFERROR('4a. Factibilidad'!E30,0)</f>
        <v>0</v>
      </c>
      <c r="F30" s="193">
        <f>IFERROR('4a. Factibilidad'!F30,0)</f>
        <v>0</v>
      </c>
      <c r="G30" s="193">
        <f>IFERROR('4a. Factibilidad'!G30,0)</f>
        <v>0</v>
      </c>
      <c r="H30" s="193">
        <f>IFERROR('4a. Factibilidad'!H30,0)</f>
        <v>0</v>
      </c>
      <c r="I30" s="193">
        <f>IFERROR('4a. Factibilidad'!I30,0)</f>
        <v>0</v>
      </c>
      <c r="J30" s="193">
        <f>IFERROR('4a. Factibilidad'!J30,0)</f>
        <v>0</v>
      </c>
      <c r="K30" s="193">
        <f>IFERROR('4a. Factibilidad'!K30,0)</f>
        <v>0</v>
      </c>
      <c r="L30" s="193">
        <f>IFERROR('4a. Factibilidad'!L30,0)</f>
        <v>0</v>
      </c>
      <c r="M30" s="193">
        <f>IFERROR('4a. Factibilidad'!M30,0)</f>
        <v>0</v>
      </c>
      <c r="N30" s="193">
        <f>IFERROR('4a. Factibilidad'!N30,0)</f>
        <v>0</v>
      </c>
      <c r="O30" s="101">
        <f>SUM(C30:N30)</f>
        <v>0</v>
      </c>
      <c r="P30" s="101">
        <f>IFERROR(O30/12,"")</f>
        <v>0</v>
      </c>
      <c r="Q30" s="28"/>
    </row>
    <row r="31" spans="1:17" ht="21.75" customHeight="1" x14ac:dyDescent="0.2">
      <c r="A31" s="1"/>
      <c r="B31" s="30" t="s">
        <v>95</v>
      </c>
      <c r="C31" s="31"/>
      <c r="D31" s="31"/>
      <c r="E31" s="31"/>
      <c r="F31" s="31"/>
      <c r="G31" s="31"/>
      <c r="H31" s="31"/>
      <c r="I31" s="31"/>
      <c r="J31" s="31"/>
      <c r="K31" s="31"/>
      <c r="L31" s="31"/>
      <c r="M31" s="31"/>
      <c r="N31" s="31"/>
      <c r="O31" s="31"/>
      <c r="P31" s="31"/>
      <c r="Q31" s="31"/>
    </row>
    <row r="32" spans="1:17" ht="19.5" customHeight="1" x14ac:dyDescent="0.2">
      <c r="B32" s="144" t="s">
        <v>96</v>
      </c>
      <c r="C32" s="175">
        <f>IFERROR('4a. Factibilidad'!C32,0)</f>
        <v>0</v>
      </c>
      <c r="D32" s="176">
        <f t="shared" ref="D32:N32" si="7">$C$32</f>
        <v>0</v>
      </c>
      <c r="E32" s="176">
        <f t="shared" si="7"/>
        <v>0</v>
      </c>
      <c r="F32" s="176">
        <f t="shared" si="7"/>
        <v>0</v>
      </c>
      <c r="G32" s="176">
        <f t="shared" si="7"/>
        <v>0</v>
      </c>
      <c r="H32" s="176">
        <f t="shared" si="7"/>
        <v>0</v>
      </c>
      <c r="I32" s="176">
        <f t="shared" si="7"/>
        <v>0</v>
      </c>
      <c r="J32" s="176">
        <f t="shared" si="7"/>
        <v>0</v>
      </c>
      <c r="K32" s="176">
        <f t="shared" si="7"/>
        <v>0</v>
      </c>
      <c r="L32" s="176">
        <f t="shared" si="7"/>
        <v>0</v>
      </c>
      <c r="M32" s="176">
        <f t="shared" si="7"/>
        <v>0</v>
      </c>
      <c r="N32" s="176">
        <f t="shared" si="7"/>
        <v>0</v>
      </c>
      <c r="O32" s="101">
        <f t="shared" ref="O32:O39" si="8">SUM(C32:N32)</f>
        <v>0</v>
      </c>
      <c r="P32" s="100">
        <f t="shared" ref="P32:P39" si="9">IFERROR(O32/12,"")</f>
        <v>0</v>
      </c>
      <c r="Q32" s="28" t="s">
        <v>97</v>
      </c>
    </row>
    <row r="33" spans="1:17" ht="19.5" customHeight="1" x14ac:dyDescent="0.2">
      <c r="B33" s="144" t="s">
        <v>98</v>
      </c>
      <c r="C33" s="193">
        <f>IFERROR('4a. Factibilidad'!C33,0)</f>
        <v>0</v>
      </c>
      <c r="D33" s="176">
        <f>IFERROR('4a. Factibilidad'!D33,0)</f>
        <v>0</v>
      </c>
      <c r="E33" s="176">
        <f>IFERROR('4a. Factibilidad'!E33,0)</f>
        <v>0</v>
      </c>
      <c r="F33" s="176">
        <f>IFERROR('4a. Factibilidad'!F33,0)</f>
        <v>0</v>
      </c>
      <c r="G33" s="176">
        <f>IFERROR('4a. Factibilidad'!G33,0)</f>
        <v>0</v>
      </c>
      <c r="H33" s="176">
        <f>IFERROR('4a. Factibilidad'!H33,0)</f>
        <v>0</v>
      </c>
      <c r="I33" s="176">
        <f>IFERROR('4a. Factibilidad'!I33,0)</f>
        <v>0</v>
      </c>
      <c r="J33" s="176">
        <f>IFERROR('4a. Factibilidad'!J33,0)</f>
        <v>0</v>
      </c>
      <c r="K33" s="176">
        <f>IFERROR('4a. Factibilidad'!K33,0)</f>
        <v>0</v>
      </c>
      <c r="L33" s="176">
        <f>IFERROR('4a. Factibilidad'!L33,0)</f>
        <v>0</v>
      </c>
      <c r="M33" s="176">
        <f>IFERROR('4a. Factibilidad'!M33,0)</f>
        <v>0</v>
      </c>
      <c r="N33" s="176">
        <f>IFERROR('4a. Factibilidad'!N33,0)</f>
        <v>0</v>
      </c>
      <c r="O33" s="101">
        <f t="shared" si="8"/>
        <v>0</v>
      </c>
      <c r="P33" s="101">
        <f t="shared" si="9"/>
        <v>0</v>
      </c>
      <c r="Q33" s="28" t="s">
        <v>99</v>
      </c>
    </row>
    <row r="34" spans="1:17" ht="19.5" customHeight="1" x14ac:dyDescent="0.2">
      <c r="B34" s="144" t="s">
        <v>100</v>
      </c>
      <c r="C34" s="193">
        <f>IFERROR('4a. Factibilidad'!C34,0)</f>
        <v>0</v>
      </c>
      <c r="D34" s="176">
        <f>IFERROR('4a. Factibilidad'!D34,0)</f>
        <v>0</v>
      </c>
      <c r="E34" s="176">
        <f>IFERROR('4a. Factibilidad'!E34,0)</f>
        <v>0</v>
      </c>
      <c r="F34" s="176">
        <f>IFERROR('4a. Factibilidad'!F34,0)</f>
        <v>0</v>
      </c>
      <c r="G34" s="176">
        <f>IFERROR('4a. Factibilidad'!G34,0)</f>
        <v>0</v>
      </c>
      <c r="H34" s="176">
        <f>IFERROR('4a. Factibilidad'!H34,0)</f>
        <v>0</v>
      </c>
      <c r="I34" s="176">
        <f>IFERROR('4a. Factibilidad'!I34,0)</f>
        <v>0</v>
      </c>
      <c r="J34" s="176">
        <f>IFERROR('4a. Factibilidad'!J34,0)</f>
        <v>0</v>
      </c>
      <c r="K34" s="176">
        <f>IFERROR('4a. Factibilidad'!K34,0)</f>
        <v>0</v>
      </c>
      <c r="L34" s="176">
        <f>IFERROR('4a. Factibilidad'!L34,0)</f>
        <v>0</v>
      </c>
      <c r="M34" s="176">
        <f>IFERROR('4a. Factibilidad'!M34,0)</f>
        <v>0</v>
      </c>
      <c r="N34" s="176">
        <f>IFERROR('4a. Factibilidad'!N34,0)</f>
        <v>0</v>
      </c>
      <c r="O34" s="101">
        <f t="shared" si="8"/>
        <v>0</v>
      </c>
      <c r="P34" s="101">
        <f t="shared" si="9"/>
        <v>0</v>
      </c>
      <c r="Q34" s="23"/>
    </row>
    <row r="35" spans="1:17" ht="19.5" customHeight="1" x14ac:dyDescent="0.2">
      <c r="B35" s="144" t="s">
        <v>101</v>
      </c>
      <c r="C35" s="154">
        <v>0</v>
      </c>
      <c r="D35" s="176">
        <f t="shared" ref="D35:N35" si="10">$C$35</f>
        <v>0</v>
      </c>
      <c r="E35" s="176">
        <f t="shared" si="10"/>
        <v>0</v>
      </c>
      <c r="F35" s="176">
        <f t="shared" si="10"/>
        <v>0</v>
      </c>
      <c r="G35" s="176">
        <f t="shared" si="10"/>
        <v>0</v>
      </c>
      <c r="H35" s="176">
        <f t="shared" si="10"/>
        <v>0</v>
      </c>
      <c r="I35" s="176">
        <f t="shared" si="10"/>
        <v>0</v>
      </c>
      <c r="J35" s="176">
        <f t="shared" si="10"/>
        <v>0</v>
      </c>
      <c r="K35" s="176">
        <f t="shared" si="10"/>
        <v>0</v>
      </c>
      <c r="L35" s="176">
        <f t="shared" si="10"/>
        <v>0</v>
      </c>
      <c r="M35" s="176">
        <f t="shared" si="10"/>
        <v>0</v>
      </c>
      <c r="N35" s="176">
        <f t="shared" si="10"/>
        <v>0</v>
      </c>
      <c r="O35" s="101">
        <f t="shared" si="8"/>
        <v>0</v>
      </c>
      <c r="P35" s="101">
        <f t="shared" si="9"/>
        <v>0</v>
      </c>
      <c r="Q35" s="23"/>
    </row>
    <row r="36" spans="1:17" ht="19.5" customHeight="1" x14ac:dyDescent="0.2">
      <c r="B36" s="217" t="str">
        <f>'4a. Factibilidad'!B36</f>
        <v>(agregar concepto)</v>
      </c>
      <c r="C36" s="206">
        <f>IFERROR('4a. Factibilidad'!C36,0)</f>
        <v>0</v>
      </c>
      <c r="D36" s="208">
        <f>IFERROR('4a. Factibilidad'!D36,0)</f>
        <v>0</v>
      </c>
      <c r="E36" s="208">
        <f>IFERROR('4a. Factibilidad'!E36,0)</f>
        <v>0</v>
      </c>
      <c r="F36" s="208">
        <f>IFERROR('4a. Factibilidad'!F36,0)</f>
        <v>0</v>
      </c>
      <c r="G36" s="208">
        <f>IFERROR('4a. Factibilidad'!G36,0)</f>
        <v>0</v>
      </c>
      <c r="H36" s="208">
        <f>IFERROR('4a. Factibilidad'!H36,0)</f>
        <v>0</v>
      </c>
      <c r="I36" s="208">
        <f>IFERROR('4a. Factibilidad'!I36,0)</f>
        <v>0</v>
      </c>
      <c r="J36" s="208">
        <f>IFERROR('4a. Factibilidad'!J36,0)</f>
        <v>0</v>
      </c>
      <c r="K36" s="208">
        <f>IFERROR('4a. Factibilidad'!K36,0)</f>
        <v>0</v>
      </c>
      <c r="L36" s="208">
        <f>IFERROR('4a. Factibilidad'!L36,0)</f>
        <v>0</v>
      </c>
      <c r="M36" s="208">
        <f>IFERROR('4a. Factibilidad'!M36,0)</f>
        <v>0</v>
      </c>
      <c r="N36" s="208">
        <f>IFERROR('4a. Factibilidad'!N36,0)</f>
        <v>0</v>
      </c>
      <c r="O36" s="209">
        <f t="shared" si="8"/>
        <v>0</v>
      </c>
      <c r="P36" s="210">
        <f t="shared" si="9"/>
        <v>0</v>
      </c>
      <c r="Q36" s="28"/>
    </row>
    <row r="37" spans="1:17" ht="19.5" customHeight="1" x14ac:dyDescent="0.2">
      <c r="B37" s="217" t="str">
        <f>'4a. Factibilidad'!B37</f>
        <v>(agregar concepto)</v>
      </c>
      <c r="C37" s="206">
        <f>IFERROR('4a. Factibilidad'!C37,0)</f>
        <v>0</v>
      </c>
      <c r="D37" s="208">
        <f>IFERROR('4a. Factibilidad'!D37,0)</f>
        <v>0</v>
      </c>
      <c r="E37" s="208">
        <f>IFERROR('4a. Factibilidad'!E37,0)</f>
        <v>0</v>
      </c>
      <c r="F37" s="208">
        <f>IFERROR('4a. Factibilidad'!F37,0)</f>
        <v>0</v>
      </c>
      <c r="G37" s="208">
        <f>IFERROR('4a. Factibilidad'!G37,0)</f>
        <v>0</v>
      </c>
      <c r="H37" s="208">
        <f>IFERROR('4a. Factibilidad'!H37,0)</f>
        <v>0</v>
      </c>
      <c r="I37" s="208">
        <f>IFERROR('4a. Factibilidad'!I37,0)</f>
        <v>0</v>
      </c>
      <c r="J37" s="208">
        <f>IFERROR('4a. Factibilidad'!J37,0)</f>
        <v>0</v>
      </c>
      <c r="K37" s="208">
        <f>IFERROR('4a. Factibilidad'!K37,0)</f>
        <v>0</v>
      </c>
      <c r="L37" s="208">
        <f>IFERROR('4a. Factibilidad'!L37,0)</f>
        <v>0</v>
      </c>
      <c r="M37" s="208">
        <f>IFERROR('4a. Factibilidad'!M37,0)</f>
        <v>0</v>
      </c>
      <c r="N37" s="208">
        <f>IFERROR('4a. Factibilidad'!N37,0)</f>
        <v>0</v>
      </c>
      <c r="O37" s="209">
        <f t="shared" si="8"/>
        <v>0</v>
      </c>
      <c r="P37" s="210">
        <f t="shared" si="9"/>
        <v>0</v>
      </c>
      <c r="Q37" s="28"/>
    </row>
    <row r="38" spans="1:17" ht="19.5" customHeight="1" x14ac:dyDescent="0.2">
      <c r="B38" s="217" t="str">
        <f>'4a. Factibilidad'!B38</f>
        <v>(agregar concepto)</v>
      </c>
      <c r="C38" s="206">
        <f>IFERROR('4a. Factibilidad'!C38,0)</f>
        <v>0</v>
      </c>
      <c r="D38" s="208">
        <f>IFERROR('4a. Factibilidad'!D38,0)</f>
        <v>0</v>
      </c>
      <c r="E38" s="208">
        <f>IFERROR('4a. Factibilidad'!E38,0)</f>
        <v>0</v>
      </c>
      <c r="F38" s="208">
        <f>IFERROR('4a. Factibilidad'!F38,0)</f>
        <v>0</v>
      </c>
      <c r="G38" s="208">
        <f>IFERROR('4a. Factibilidad'!G38,0)</f>
        <v>0</v>
      </c>
      <c r="H38" s="208">
        <f>IFERROR('4a. Factibilidad'!H38,0)</f>
        <v>0</v>
      </c>
      <c r="I38" s="208">
        <f>IFERROR('4a. Factibilidad'!I38,0)</f>
        <v>0</v>
      </c>
      <c r="J38" s="208">
        <f>IFERROR('4a. Factibilidad'!J38,0)</f>
        <v>0</v>
      </c>
      <c r="K38" s="208">
        <f>IFERROR('4a. Factibilidad'!K38,0)</f>
        <v>0</v>
      </c>
      <c r="L38" s="208">
        <f>IFERROR('4a. Factibilidad'!L38,0)</f>
        <v>0</v>
      </c>
      <c r="M38" s="208">
        <f>IFERROR('4a. Factibilidad'!M38,0)</f>
        <v>0</v>
      </c>
      <c r="N38" s="208">
        <f>IFERROR('4a. Factibilidad'!N38,0)</f>
        <v>0</v>
      </c>
      <c r="O38" s="209">
        <f t="shared" si="8"/>
        <v>0</v>
      </c>
      <c r="P38" s="210">
        <f t="shared" si="9"/>
        <v>0</v>
      </c>
      <c r="Q38" s="28"/>
    </row>
    <row r="39" spans="1:17" ht="19.5" customHeight="1" x14ac:dyDescent="0.2">
      <c r="B39" s="211" t="str">
        <f>'4a. Factibilidad'!B39</f>
        <v>Comisión plataforma (Airbnb)</v>
      </c>
      <c r="C39" s="212">
        <f>IFERROR('4a. Factibilidad'!C39,0)</f>
        <v>0</v>
      </c>
      <c r="D39" s="215">
        <f>IFERROR('4a. Factibilidad'!D39,0)</f>
        <v>0</v>
      </c>
      <c r="E39" s="215">
        <f>IFERROR('4a. Factibilidad'!E39,0)</f>
        <v>0</v>
      </c>
      <c r="F39" s="215">
        <f>IFERROR('4a. Factibilidad'!F39,0)</f>
        <v>0</v>
      </c>
      <c r="G39" s="215">
        <f>IFERROR('4a. Factibilidad'!G39,0)</f>
        <v>0</v>
      </c>
      <c r="H39" s="215">
        <f>IFERROR('4a. Factibilidad'!H39,0)</f>
        <v>0</v>
      </c>
      <c r="I39" s="215">
        <f>IFERROR('4a. Factibilidad'!I39,0)</f>
        <v>0</v>
      </c>
      <c r="J39" s="215">
        <f>IFERROR('4a. Factibilidad'!J39,0)</f>
        <v>0</v>
      </c>
      <c r="K39" s="215">
        <f>IFERROR('4a. Factibilidad'!K39,0)</f>
        <v>0</v>
      </c>
      <c r="L39" s="215">
        <f>IFERROR('4a. Factibilidad'!L39,0)</f>
        <v>0</v>
      </c>
      <c r="M39" s="215">
        <f>IFERROR('4a. Factibilidad'!M39,0)</f>
        <v>0</v>
      </c>
      <c r="N39" s="215">
        <f>IFERROR('4a. Factibilidad'!N39,0)</f>
        <v>0</v>
      </c>
      <c r="O39" s="214">
        <f t="shared" si="8"/>
        <v>0</v>
      </c>
      <c r="P39" s="215">
        <f t="shared" si="9"/>
        <v>0</v>
      </c>
      <c r="Q39" s="28"/>
    </row>
    <row r="40" spans="1:17" ht="21.75" customHeight="1" x14ac:dyDescent="0.2">
      <c r="A40" s="3"/>
      <c r="B40" s="24" t="s">
        <v>103</v>
      </c>
      <c r="C40" s="25"/>
      <c r="D40" s="25"/>
      <c r="E40" s="25"/>
      <c r="F40" s="25"/>
      <c r="G40" s="25"/>
      <c r="H40" s="25"/>
      <c r="I40" s="25"/>
      <c r="J40" s="25"/>
      <c r="K40" s="25"/>
      <c r="L40" s="25"/>
      <c r="M40" s="25"/>
      <c r="N40" s="25"/>
      <c r="O40" s="25"/>
      <c r="P40" s="25"/>
      <c r="Q40" s="25"/>
    </row>
    <row r="41" spans="1:17" ht="19.5" customHeight="1" x14ac:dyDescent="0.2">
      <c r="B41" s="144" t="s">
        <v>104</v>
      </c>
      <c r="C41" s="193">
        <f>IFERROR('4a. Factibilidad'!C41,0)</f>
        <v>0</v>
      </c>
      <c r="D41" s="193">
        <f>IFERROR('4a. Factibilidad'!D41,0)</f>
        <v>0</v>
      </c>
      <c r="E41" s="193">
        <f>IFERROR('4a. Factibilidad'!E41,0)</f>
        <v>0</v>
      </c>
      <c r="F41" s="193">
        <f>IFERROR('4a. Factibilidad'!F41,0)</f>
        <v>0</v>
      </c>
      <c r="G41" s="193">
        <f>IFERROR('4a. Factibilidad'!G41,0)</f>
        <v>0</v>
      </c>
      <c r="H41" s="193">
        <f>IFERROR('4a. Factibilidad'!H41,0)</f>
        <v>0</v>
      </c>
      <c r="I41" s="193">
        <f>IFERROR('4a. Factibilidad'!I41,0)</f>
        <v>0</v>
      </c>
      <c r="J41" s="193">
        <f>IFERROR('4a. Factibilidad'!J41,0)</f>
        <v>0</v>
      </c>
      <c r="K41" s="193">
        <f>IFERROR('4a. Factibilidad'!K41,0)</f>
        <v>0</v>
      </c>
      <c r="L41" s="193">
        <f>IFERROR('4a. Factibilidad'!L41,0)</f>
        <v>0</v>
      </c>
      <c r="M41" s="193">
        <f>IFERROR('4a. Factibilidad'!M41,0)</f>
        <v>0</v>
      </c>
      <c r="N41" s="193">
        <f>IFERROR('4a. Factibilidad'!N41,0)</f>
        <v>0</v>
      </c>
      <c r="O41" s="101">
        <f t="shared" ref="O41:O46" si="11">SUM(C41:N41)</f>
        <v>0</v>
      </c>
      <c r="P41" s="101">
        <f t="shared" ref="P41:P46" si="12">IFERROR(O41/12,"")</f>
        <v>0</v>
      </c>
      <c r="Q41" s="28" t="s">
        <v>105</v>
      </c>
    </row>
    <row r="42" spans="1:17" ht="19.5" customHeight="1" x14ac:dyDescent="0.2">
      <c r="B42" s="144" t="s">
        <v>106</v>
      </c>
      <c r="C42" s="193">
        <f>IFERROR('4a. Factibilidad'!C42,0)</f>
        <v>0</v>
      </c>
      <c r="D42" s="193">
        <f>IFERROR('4a. Factibilidad'!D42,0)</f>
        <v>0</v>
      </c>
      <c r="E42" s="193">
        <f>IFERROR('4a. Factibilidad'!E42,0)</f>
        <v>0</v>
      </c>
      <c r="F42" s="193">
        <f>IFERROR('4a. Factibilidad'!F42,0)</f>
        <v>0</v>
      </c>
      <c r="G42" s="193">
        <f>IFERROR('4a. Factibilidad'!G42,0)</f>
        <v>0</v>
      </c>
      <c r="H42" s="193">
        <f>IFERROR('4a. Factibilidad'!H42,0)</f>
        <v>0</v>
      </c>
      <c r="I42" s="193">
        <f>IFERROR('4a. Factibilidad'!I42,0)</f>
        <v>0</v>
      </c>
      <c r="J42" s="193">
        <f>IFERROR('4a. Factibilidad'!J42,0)</f>
        <v>0</v>
      </c>
      <c r="K42" s="193">
        <f>IFERROR('4a. Factibilidad'!K42,0)</f>
        <v>0</v>
      </c>
      <c r="L42" s="193">
        <f>IFERROR('4a. Factibilidad'!L42,0)</f>
        <v>0</v>
      </c>
      <c r="M42" s="193">
        <f>IFERROR('4a. Factibilidad'!M42,0)</f>
        <v>0</v>
      </c>
      <c r="N42" s="193">
        <f>IFERROR('4a. Factibilidad'!N42,0)</f>
        <v>0</v>
      </c>
      <c r="O42" s="101">
        <f t="shared" si="11"/>
        <v>0</v>
      </c>
      <c r="P42" s="101">
        <f t="shared" si="12"/>
        <v>0</v>
      </c>
      <c r="Q42" s="23"/>
    </row>
    <row r="43" spans="1:17" ht="19.5" customHeight="1" x14ac:dyDescent="0.2">
      <c r="B43" s="196" t="s">
        <v>107</v>
      </c>
      <c r="C43" s="201">
        <f>IFERROR('4a. Factibilidad'!C43,0)</f>
        <v>0</v>
      </c>
      <c r="D43" s="201">
        <f>IFERROR('4a. Factibilidad'!D43,0)</f>
        <v>0</v>
      </c>
      <c r="E43" s="201">
        <f>IFERROR('4a. Factibilidad'!E43,0)</f>
        <v>0</v>
      </c>
      <c r="F43" s="201">
        <f>IFERROR('4a. Factibilidad'!F43,0)</f>
        <v>0</v>
      </c>
      <c r="G43" s="201">
        <f>IFERROR('4a. Factibilidad'!G43,0)</f>
        <v>0</v>
      </c>
      <c r="H43" s="201">
        <f>IFERROR('4a. Factibilidad'!H43,0)</f>
        <v>0</v>
      </c>
      <c r="I43" s="201">
        <f>IFERROR('4a. Factibilidad'!I43,0)</f>
        <v>0</v>
      </c>
      <c r="J43" s="201">
        <f>IFERROR('4a. Factibilidad'!J43,0)</f>
        <v>0</v>
      </c>
      <c r="K43" s="201">
        <f>IFERROR('4a. Factibilidad'!K43,0)</f>
        <v>0</v>
      </c>
      <c r="L43" s="201">
        <f>IFERROR('4a. Factibilidad'!L43,0)</f>
        <v>0</v>
      </c>
      <c r="M43" s="201">
        <f>IFERROR('4a. Factibilidad'!M43,0)</f>
        <v>0</v>
      </c>
      <c r="N43" s="201">
        <f>IFERROR('4a. Factibilidad'!N43,0)</f>
        <v>0</v>
      </c>
      <c r="O43" s="198">
        <f t="shared" si="11"/>
        <v>0</v>
      </c>
      <c r="P43" s="198">
        <f t="shared" si="12"/>
        <v>0</v>
      </c>
      <c r="Q43" s="23"/>
    </row>
    <row r="44" spans="1:17" ht="19.5" customHeight="1" x14ac:dyDescent="0.2">
      <c r="B44" s="203" t="str">
        <f>'4a. Factibilidad'!B44</f>
        <v>(agregar concepto)</v>
      </c>
      <c r="C44" s="201">
        <f>IFERROR('4a. Factibilidad'!C44,0)</f>
        <v>0</v>
      </c>
      <c r="D44" s="201">
        <f>IFERROR('4a. Factibilidad'!D44,0)</f>
        <v>0</v>
      </c>
      <c r="E44" s="201">
        <f>IFERROR('4a. Factibilidad'!E44,0)</f>
        <v>0</v>
      </c>
      <c r="F44" s="201">
        <f>IFERROR('4a. Factibilidad'!F44,0)</f>
        <v>0</v>
      </c>
      <c r="G44" s="201">
        <f>IFERROR('4a. Factibilidad'!G44,0)</f>
        <v>0</v>
      </c>
      <c r="H44" s="201">
        <f>IFERROR('4a. Factibilidad'!H44,0)</f>
        <v>0</v>
      </c>
      <c r="I44" s="201">
        <f>IFERROR('4a. Factibilidad'!I44,0)</f>
        <v>0</v>
      </c>
      <c r="J44" s="201">
        <f>IFERROR('4a. Factibilidad'!J44,0)</f>
        <v>0</v>
      </c>
      <c r="K44" s="201">
        <f>IFERROR('4a. Factibilidad'!K44,0)</f>
        <v>0</v>
      </c>
      <c r="L44" s="201">
        <f>IFERROR('4a. Factibilidad'!L44,0)</f>
        <v>0</v>
      </c>
      <c r="M44" s="201">
        <f>IFERROR('4a. Factibilidad'!M44,0)</f>
        <v>0</v>
      </c>
      <c r="N44" s="201">
        <f>IFERROR('4a. Factibilidad'!N44,0)</f>
        <v>0</v>
      </c>
      <c r="O44" s="198">
        <f t="shared" si="11"/>
        <v>0</v>
      </c>
      <c r="P44" s="198">
        <f t="shared" si="12"/>
        <v>0</v>
      </c>
      <c r="Q44" s="23"/>
    </row>
    <row r="45" spans="1:17" ht="19.5" customHeight="1" x14ac:dyDescent="0.2">
      <c r="B45" s="203" t="str">
        <f>'4a. Factibilidad'!B45</f>
        <v>(agregar concepto)</v>
      </c>
      <c r="C45" s="201">
        <f>IFERROR('4a. Factibilidad'!C45,0)</f>
        <v>0</v>
      </c>
      <c r="D45" s="201">
        <f>IFERROR('4a. Factibilidad'!D45,0)</f>
        <v>0</v>
      </c>
      <c r="E45" s="201">
        <f>IFERROR('4a. Factibilidad'!E45,0)</f>
        <v>0</v>
      </c>
      <c r="F45" s="201">
        <f>IFERROR('4a. Factibilidad'!F45,0)</f>
        <v>0</v>
      </c>
      <c r="G45" s="201">
        <f>IFERROR('4a. Factibilidad'!G45,0)</f>
        <v>0</v>
      </c>
      <c r="H45" s="201">
        <f>IFERROR('4a. Factibilidad'!H45,0)</f>
        <v>0</v>
      </c>
      <c r="I45" s="201">
        <f>IFERROR('4a. Factibilidad'!I45,0)</f>
        <v>0</v>
      </c>
      <c r="J45" s="201">
        <f>IFERROR('4a. Factibilidad'!J45,0)</f>
        <v>0</v>
      </c>
      <c r="K45" s="201">
        <f>IFERROR('4a. Factibilidad'!K45,0)</f>
        <v>0</v>
      </c>
      <c r="L45" s="201">
        <f>IFERROR('4a. Factibilidad'!L45,0)</f>
        <v>0</v>
      </c>
      <c r="M45" s="201">
        <f>IFERROR('4a. Factibilidad'!M45,0)</f>
        <v>0</v>
      </c>
      <c r="N45" s="201">
        <f>IFERROR('4a. Factibilidad'!N45,0)</f>
        <v>0</v>
      </c>
      <c r="O45" s="198">
        <f t="shared" si="11"/>
        <v>0</v>
      </c>
      <c r="P45" s="198">
        <f t="shared" si="12"/>
        <v>0</v>
      </c>
      <c r="Q45" s="23"/>
    </row>
    <row r="46" spans="1:17" ht="19.5" customHeight="1" x14ac:dyDescent="0.2">
      <c r="B46" s="202" t="str">
        <f>'4a. Factibilidad'!B46</f>
        <v>(agregar concepto)</v>
      </c>
      <c r="C46" s="193">
        <f>IFERROR('4a. Factibilidad'!C46,0)</f>
        <v>0</v>
      </c>
      <c r="D46" s="193">
        <f>IFERROR('4a. Factibilidad'!D46,0)</f>
        <v>0</v>
      </c>
      <c r="E46" s="193">
        <f>IFERROR('4a. Factibilidad'!E46,0)</f>
        <v>0</v>
      </c>
      <c r="F46" s="193">
        <f>IFERROR('4a. Factibilidad'!F46,0)</f>
        <v>0</v>
      </c>
      <c r="G46" s="193">
        <f>IFERROR('4a. Factibilidad'!G46,0)</f>
        <v>0</v>
      </c>
      <c r="H46" s="193">
        <f>IFERROR('4a. Factibilidad'!H46,0)</f>
        <v>0</v>
      </c>
      <c r="I46" s="193">
        <f>IFERROR('4a. Factibilidad'!I46,0)</f>
        <v>0</v>
      </c>
      <c r="J46" s="193">
        <f>IFERROR('4a. Factibilidad'!J46,0)</f>
        <v>0</v>
      </c>
      <c r="K46" s="193">
        <f>IFERROR('4a. Factibilidad'!K46,0)</f>
        <v>0</v>
      </c>
      <c r="L46" s="193">
        <f>IFERROR('4a. Factibilidad'!L46,0)</f>
        <v>0</v>
      </c>
      <c r="M46" s="193">
        <f>IFERROR('4a. Factibilidad'!M46,0)</f>
        <v>0</v>
      </c>
      <c r="N46" s="193">
        <f>IFERROR('4a. Factibilidad'!N46,0)</f>
        <v>0</v>
      </c>
      <c r="O46" s="101">
        <f t="shared" si="11"/>
        <v>0</v>
      </c>
      <c r="P46" s="101">
        <f t="shared" si="12"/>
        <v>0</v>
      </c>
      <c r="Q46" s="23"/>
    </row>
    <row r="47" spans="1:17" ht="21.75" customHeight="1" thickBot="1" x14ac:dyDescent="0.25">
      <c r="A47" s="5"/>
      <c r="B47" s="184" t="s">
        <v>121</v>
      </c>
      <c r="C47" s="160"/>
      <c r="D47" s="160"/>
      <c r="E47" s="160"/>
      <c r="F47" s="160"/>
      <c r="G47" s="160"/>
      <c r="H47" s="160"/>
      <c r="I47" s="160"/>
      <c r="J47" s="160"/>
      <c r="K47" s="160"/>
      <c r="L47" s="160"/>
      <c r="M47" s="160"/>
      <c r="N47" s="160"/>
      <c r="O47" s="160"/>
      <c r="P47" s="160"/>
      <c r="Q47" s="160"/>
    </row>
    <row r="48" spans="1:17" ht="32" customHeight="1" thickTop="1" thickBot="1" x14ac:dyDescent="0.25">
      <c r="B48" s="249" t="str">
        <f>'4a. Factibilidad'!B48</f>
        <v>0%</v>
      </c>
      <c r="C48" s="177">
        <f t="shared" ref="C48:N48" si="13">IFERROR(C12*VALUE(SUBSTITUTE($B$48,"%",""))/100,0)</f>
        <v>0</v>
      </c>
      <c r="D48" s="178">
        <f t="shared" si="13"/>
        <v>0</v>
      </c>
      <c r="E48" s="178">
        <f t="shared" si="13"/>
        <v>0</v>
      </c>
      <c r="F48" s="178">
        <f t="shared" si="13"/>
        <v>0</v>
      </c>
      <c r="G48" s="178">
        <f t="shared" si="13"/>
        <v>0</v>
      </c>
      <c r="H48" s="178">
        <f t="shared" si="13"/>
        <v>0</v>
      </c>
      <c r="I48" s="178">
        <f t="shared" si="13"/>
        <v>0</v>
      </c>
      <c r="J48" s="178">
        <f t="shared" si="13"/>
        <v>0</v>
      </c>
      <c r="K48" s="178">
        <f t="shared" si="13"/>
        <v>0</v>
      </c>
      <c r="L48" s="178">
        <f t="shared" si="13"/>
        <v>0</v>
      </c>
      <c r="M48" s="178">
        <f t="shared" si="13"/>
        <v>0</v>
      </c>
      <c r="N48" s="178">
        <f t="shared" si="13"/>
        <v>0</v>
      </c>
      <c r="O48" s="179">
        <f>SUM(C48:N48)</f>
        <v>0</v>
      </c>
      <c r="P48" s="179">
        <f>IFERROR(O48/12,"")</f>
        <v>0</v>
      </c>
      <c r="Q48" s="162" t="s">
        <v>122</v>
      </c>
    </row>
    <row r="49" spans="1:17" ht="25.5" customHeight="1" thickTop="1" x14ac:dyDescent="0.2">
      <c r="A49" s="7"/>
      <c r="B49" s="163" t="s">
        <v>108</v>
      </c>
      <c r="C49" s="180">
        <f t="shared" ref="C49:N49" si="14">SUM(C14:C20)+SUM(C22:C30)+SUM(C32:C39)+SUM(C41:C46)+C48</f>
        <v>0</v>
      </c>
      <c r="D49" s="180">
        <f t="shared" si="14"/>
        <v>0</v>
      </c>
      <c r="E49" s="180">
        <f t="shared" si="14"/>
        <v>0</v>
      </c>
      <c r="F49" s="180">
        <f t="shared" si="14"/>
        <v>0</v>
      </c>
      <c r="G49" s="180">
        <f t="shared" si="14"/>
        <v>0</v>
      </c>
      <c r="H49" s="180">
        <f t="shared" si="14"/>
        <v>0</v>
      </c>
      <c r="I49" s="180">
        <f t="shared" si="14"/>
        <v>0</v>
      </c>
      <c r="J49" s="180">
        <f t="shared" si="14"/>
        <v>0</v>
      </c>
      <c r="K49" s="180">
        <f t="shared" si="14"/>
        <v>0</v>
      </c>
      <c r="L49" s="180">
        <f t="shared" si="14"/>
        <v>0</v>
      </c>
      <c r="M49" s="180">
        <f t="shared" si="14"/>
        <v>0</v>
      </c>
      <c r="N49" s="180">
        <f t="shared" si="14"/>
        <v>0</v>
      </c>
      <c r="O49" s="180">
        <f>SUM(C49:N49)</f>
        <v>0</v>
      </c>
      <c r="P49" s="180">
        <f>IFERROR(O49/12,"")</f>
        <v>0</v>
      </c>
      <c r="Q49" s="164"/>
    </row>
    <row r="50" spans="1:17" ht="27.75" customHeight="1" x14ac:dyDescent="0.2">
      <c r="A50" s="1"/>
      <c r="B50" s="165" t="s">
        <v>109</v>
      </c>
      <c r="C50" s="181">
        <f t="shared" ref="C50:N50" si="15">C12-C49</f>
        <v>0</v>
      </c>
      <c r="D50" s="181">
        <f t="shared" si="15"/>
        <v>0</v>
      </c>
      <c r="E50" s="181">
        <f t="shared" si="15"/>
        <v>0</v>
      </c>
      <c r="F50" s="181">
        <f t="shared" si="15"/>
        <v>0</v>
      </c>
      <c r="G50" s="181">
        <f t="shared" si="15"/>
        <v>0</v>
      </c>
      <c r="H50" s="181">
        <f t="shared" si="15"/>
        <v>0</v>
      </c>
      <c r="I50" s="181">
        <f t="shared" si="15"/>
        <v>0</v>
      </c>
      <c r="J50" s="181">
        <f t="shared" si="15"/>
        <v>0</v>
      </c>
      <c r="K50" s="181">
        <f t="shared" si="15"/>
        <v>0</v>
      </c>
      <c r="L50" s="181">
        <f t="shared" si="15"/>
        <v>0</v>
      </c>
      <c r="M50" s="181">
        <f t="shared" si="15"/>
        <v>0</v>
      </c>
      <c r="N50" s="181">
        <f t="shared" si="15"/>
        <v>0</v>
      </c>
      <c r="O50" s="181">
        <f>SUM(C50:N50)</f>
        <v>0</v>
      </c>
      <c r="P50" s="181">
        <f>IFERROR(O50/12,"")</f>
        <v>0</v>
      </c>
      <c r="Q50" s="31"/>
    </row>
    <row r="51" spans="1:17" ht="19.5" customHeight="1" x14ac:dyDescent="0.2">
      <c r="B51" s="147" t="s">
        <v>110</v>
      </c>
      <c r="C51" s="182" t="str">
        <f t="shared" ref="C51:N51" si="16">IF(C50&gt;0,"✓","✗")</f>
        <v>✗</v>
      </c>
      <c r="D51" s="182" t="str">
        <f t="shared" si="16"/>
        <v>✗</v>
      </c>
      <c r="E51" s="182" t="str">
        <f t="shared" si="16"/>
        <v>✗</v>
      </c>
      <c r="F51" s="182" t="str">
        <f t="shared" si="16"/>
        <v>✗</v>
      </c>
      <c r="G51" s="182" t="str">
        <f t="shared" si="16"/>
        <v>✗</v>
      </c>
      <c r="H51" s="182" t="str">
        <f t="shared" si="16"/>
        <v>✗</v>
      </c>
      <c r="I51" s="182" t="str">
        <f t="shared" si="16"/>
        <v>✗</v>
      </c>
      <c r="J51" s="182" t="str">
        <f t="shared" si="16"/>
        <v>✗</v>
      </c>
      <c r="K51" s="182" t="str">
        <f t="shared" si="16"/>
        <v>✗</v>
      </c>
      <c r="L51" s="182" t="str">
        <f t="shared" si="16"/>
        <v>✗</v>
      </c>
      <c r="M51" s="182" t="str">
        <f t="shared" si="16"/>
        <v>✗</v>
      </c>
      <c r="N51" s="182" t="str">
        <f t="shared" si="16"/>
        <v>✗</v>
      </c>
      <c r="O51" s="23"/>
      <c r="P51" s="23"/>
      <c r="Q51" s="28" t="s">
        <v>111</v>
      </c>
    </row>
    <row r="52" spans="1:17" ht="19.5" customHeight="1" x14ac:dyDescent="0.2">
      <c r="B52" s="144" t="s">
        <v>112</v>
      </c>
      <c r="C52" s="183">
        <f>IFERROR('1. Perfil'!C22,0)</f>
        <v>0</v>
      </c>
      <c r="D52" s="176">
        <f t="shared" ref="D52:N52" si="17">$C$52</f>
        <v>0</v>
      </c>
      <c r="E52" s="176">
        <f t="shared" si="17"/>
        <v>0</v>
      </c>
      <c r="F52" s="176">
        <f t="shared" si="17"/>
        <v>0</v>
      </c>
      <c r="G52" s="176">
        <f t="shared" si="17"/>
        <v>0</v>
      </c>
      <c r="H52" s="176">
        <f t="shared" si="17"/>
        <v>0</v>
      </c>
      <c r="I52" s="176">
        <f t="shared" si="17"/>
        <v>0</v>
      </c>
      <c r="J52" s="176">
        <f t="shared" si="17"/>
        <v>0</v>
      </c>
      <c r="K52" s="176">
        <f t="shared" si="17"/>
        <v>0</v>
      </c>
      <c r="L52" s="176">
        <f t="shared" si="17"/>
        <v>0</v>
      </c>
      <c r="M52" s="176">
        <f t="shared" si="17"/>
        <v>0</v>
      </c>
      <c r="N52" s="176">
        <f t="shared" si="17"/>
        <v>0</v>
      </c>
      <c r="O52" s="101">
        <f>C52*12</f>
        <v>0</v>
      </c>
      <c r="P52" s="100">
        <f>C52</f>
        <v>0</v>
      </c>
      <c r="Q52" s="28" t="s">
        <v>113</v>
      </c>
    </row>
    <row r="53" spans="1:17" ht="25.5" customHeight="1" x14ac:dyDescent="0.2">
      <c r="A53" s="1"/>
      <c r="B53" s="166" t="s">
        <v>114</v>
      </c>
      <c r="C53" s="276" t="str">
        <f>IF(P50&gt;C52,"✓  SÍ — modelo vacacional es más rentable","✗  NO — revisar estrategia")</f>
        <v>✗  NO — revisar estrategia</v>
      </c>
      <c r="D53" s="277"/>
      <c r="E53" s="277"/>
      <c r="F53" s="277"/>
      <c r="G53" s="277"/>
      <c r="H53" s="277"/>
      <c r="I53" s="277"/>
      <c r="J53" s="277"/>
      <c r="K53" s="277"/>
      <c r="L53" s="277"/>
      <c r="M53" s="277"/>
      <c r="N53" s="277"/>
      <c r="O53" s="277"/>
      <c r="P53" s="277"/>
      <c r="Q53" s="31"/>
    </row>
    <row r="54" spans="1:17" ht="15.75" customHeight="1" x14ac:dyDescent="0.2">
      <c r="B54" s="23"/>
      <c r="C54" s="23"/>
      <c r="D54" s="23"/>
      <c r="E54" s="23"/>
      <c r="F54" s="23"/>
      <c r="G54" s="23"/>
      <c r="H54" s="23"/>
      <c r="I54" s="23"/>
      <c r="J54" s="23"/>
      <c r="K54" s="23"/>
      <c r="L54" s="23"/>
      <c r="M54" s="23"/>
      <c r="N54" s="23"/>
      <c r="O54" s="23"/>
      <c r="P54" s="23"/>
      <c r="Q54" s="23"/>
    </row>
    <row r="55" spans="1:17" ht="19.5" customHeight="1" x14ac:dyDescent="0.2">
      <c r="A55" s="1"/>
      <c r="B55" s="39" t="s">
        <v>44</v>
      </c>
      <c r="C55" s="31"/>
      <c r="D55" s="31"/>
      <c r="E55" s="31"/>
      <c r="F55" s="31"/>
      <c r="G55" s="31"/>
      <c r="H55" s="31"/>
      <c r="I55" s="31"/>
      <c r="J55" s="31"/>
      <c r="K55" s="31"/>
      <c r="L55" s="31"/>
      <c r="M55" s="31"/>
      <c r="N55" s="31"/>
      <c r="O55" s="31"/>
      <c r="P55" s="31"/>
      <c r="Q55" s="31"/>
    </row>
    <row r="56" spans="1:17" ht="15.75" customHeight="1" x14ac:dyDescent="0.2">
      <c r="B56" s="23"/>
      <c r="C56" s="23"/>
      <c r="D56" s="23"/>
      <c r="E56" s="23"/>
      <c r="F56" s="23"/>
      <c r="G56" s="23"/>
      <c r="H56" s="23"/>
      <c r="I56" s="23"/>
      <c r="J56" s="23"/>
      <c r="K56" s="23"/>
      <c r="L56" s="23"/>
      <c r="M56" s="23"/>
      <c r="N56" s="23"/>
      <c r="O56" s="23"/>
      <c r="P56" s="23"/>
      <c r="Q56" s="23"/>
    </row>
    <row r="57" spans="1:17" ht="15.75" customHeight="1" x14ac:dyDescent="0.2">
      <c r="B57" s="102" t="str">
        <f>IF('1. Perfil'!C30="","⚠ Falta fecha del estudio en '1. Perfil'!C30","📅 Fecha del estudio: "&amp;TEXT('1. Perfil'!C30,"dd/mmm/aaaa"))</f>
        <v>📅 Fecha del estudio: 11/jun/2026</v>
      </c>
      <c r="C57" s="23"/>
      <c r="D57" s="23"/>
      <c r="E57" s="23"/>
      <c r="F57" s="23"/>
      <c r="G57" s="23"/>
      <c r="H57" s="23"/>
      <c r="I57" s="23"/>
      <c r="J57" s="23"/>
      <c r="K57" s="23"/>
      <c r="L57" s="23"/>
      <c r="M57" s="23"/>
      <c r="N57" s="23"/>
      <c r="O57" s="23"/>
      <c r="P57" s="23"/>
      <c r="Q57" s="23"/>
    </row>
    <row r="58" spans="1:17" ht="15.75" customHeight="1" x14ac:dyDescent="0.2"/>
    <row r="59" spans="1:17" ht="15.75" customHeight="1" x14ac:dyDescent="0.2"/>
    <row r="60" spans="1:17" ht="15.75" customHeight="1" x14ac:dyDescent="0.2"/>
    <row r="61" spans="1:17" ht="15.75" customHeight="1" x14ac:dyDescent="0.2"/>
    <row r="62" spans="1:17" ht="15.75" customHeight="1" x14ac:dyDescent="0.2"/>
    <row r="63" spans="1:17" ht="15.75" customHeight="1" x14ac:dyDescent="0.2"/>
    <row r="64" spans="1: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sheetData>
  <sheetProtection sheet="1" objects="1" scenarios="1" formatCells="0" formatColumns="0" formatRows="0" insertHyperlinks="0" sort="0" autoFilter="0"/>
  <mergeCells count="1">
    <mergeCell ref="C53:P53"/>
  </mergeCells>
  <dataValidations count="1">
    <dataValidation type="list" allowBlank="1" showInputMessage="1" showErrorMessage="1" errorTitle="Opción inválida" error="Selecciona una opción del dropdown (0% a 50% en intervalos de 5%)." promptTitle="🔔 Reserva mensual" prompt="Selecciona el % del ingreso bruto a apartar como reserva mensual._x000a__x000a_Opciones: de 0% a 50% en intervalos de 5%._x000a__x000a_Recomendado: 10–15%" sqref="B48" xr:uid="{324D9B79-612C-FB43-9912-D132B696B267}">
      <formula1>"0%,5%,10%,15%,20%,25%,30%,35%,40%,45%,50%"</formula1>
    </dataValidation>
  </dataValidations>
  <pageMargins left="0.75" right="0.75" top="1" bottom="1" header="0.511811023622047" footer="0.511811023622047"/>
  <pageSetup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05F7A-DAEF-644B-9A08-61BB16CC5F96}">
  <sheetPr>
    <tabColor rgb="FF0F6E56"/>
  </sheetPr>
  <dimension ref="A1:Q1012"/>
  <sheetViews>
    <sheetView showGridLines="0" topLeftCell="A12" zoomScaleNormal="100" workbookViewId="0">
      <pane xSplit="2" topLeftCell="D1" activePane="topRight" state="frozen"/>
      <selection activeCell="A7" sqref="A7"/>
      <selection pane="topRight" activeCell="G5" sqref="G5"/>
    </sheetView>
  </sheetViews>
  <sheetFormatPr baseColWidth="10" defaultColWidth="14.5" defaultRowHeight="15" x14ac:dyDescent="0.2"/>
  <cols>
    <col min="1" max="1" width="3" customWidth="1"/>
    <col min="2" max="2" width="46" customWidth="1"/>
    <col min="3" max="3" width="11" customWidth="1"/>
    <col min="4" max="14" width="9.5" customWidth="1"/>
    <col min="15" max="16" width="13" customWidth="1"/>
    <col min="17" max="17" width="35" customWidth="1"/>
  </cols>
  <sheetData>
    <row r="1" spans="1:17" ht="27.75" customHeight="1" x14ac:dyDescent="0.2">
      <c r="B1" s="41" t="s">
        <v>205</v>
      </c>
      <c r="C1" s="31"/>
      <c r="D1" s="31"/>
      <c r="E1" s="31"/>
      <c r="F1" s="31"/>
      <c r="G1" s="31"/>
      <c r="H1" s="31"/>
      <c r="I1" s="31"/>
      <c r="J1" s="31"/>
      <c r="K1" s="31"/>
      <c r="L1" s="31"/>
      <c r="M1" s="31"/>
      <c r="N1" s="31"/>
      <c r="O1" s="31"/>
      <c r="P1" s="31"/>
      <c r="Q1" s="31"/>
    </row>
    <row r="2" spans="1:17" ht="13.5" customHeight="1" x14ac:dyDescent="0.2">
      <c r="B2" s="104" t="s">
        <v>206</v>
      </c>
      <c r="C2" s="23"/>
      <c r="D2" s="23"/>
      <c r="E2" s="23"/>
      <c r="F2" s="23"/>
      <c r="G2" s="23"/>
      <c r="H2" s="23"/>
      <c r="I2" s="23"/>
      <c r="J2" s="23"/>
      <c r="K2" s="23"/>
      <c r="L2" s="23"/>
      <c r="M2" s="23"/>
      <c r="N2" s="23"/>
      <c r="O2" s="23"/>
      <c r="P2" s="23"/>
      <c r="Q2" s="23"/>
    </row>
    <row r="3" spans="1:17" ht="24" customHeight="1" x14ac:dyDescent="0.2">
      <c r="A3" s="3"/>
      <c r="B3" s="24" t="s">
        <v>57</v>
      </c>
      <c r="C3" s="140" t="s">
        <v>24</v>
      </c>
      <c r="D3" s="140" t="s">
        <v>25</v>
      </c>
      <c r="E3" s="140" t="s">
        <v>26</v>
      </c>
      <c r="F3" s="140" t="s">
        <v>27</v>
      </c>
      <c r="G3" s="140" t="s">
        <v>28</v>
      </c>
      <c r="H3" s="140" t="s">
        <v>29</v>
      </c>
      <c r="I3" s="140" t="s">
        <v>30</v>
      </c>
      <c r="J3" s="140" t="s">
        <v>31</v>
      </c>
      <c r="K3" s="140" t="s">
        <v>32</v>
      </c>
      <c r="L3" s="140" t="s">
        <v>33</v>
      </c>
      <c r="M3" s="140" t="s">
        <v>34</v>
      </c>
      <c r="N3" s="140" t="s">
        <v>35</v>
      </c>
      <c r="O3" s="141" t="s">
        <v>58</v>
      </c>
      <c r="P3" s="141" t="s">
        <v>59</v>
      </c>
      <c r="Q3" s="141" t="s">
        <v>60</v>
      </c>
    </row>
    <row r="4" spans="1:17" ht="21.75" customHeight="1" x14ac:dyDescent="0.2">
      <c r="A4" s="6"/>
      <c r="B4" s="142" t="s">
        <v>61</v>
      </c>
      <c r="C4" s="143"/>
      <c r="D4" s="143"/>
      <c r="E4" s="143"/>
      <c r="F4" s="143"/>
      <c r="G4" s="143"/>
      <c r="H4" s="143"/>
      <c r="I4" s="143"/>
      <c r="J4" s="143"/>
      <c r="K4" s="143"/>
      <c r="L4" s="143"/>
      <c r="M4" s="143"/>
      <c r="N4" s="143"/>
      <c r="O4" s="143"/>
      <c r="P4" s="143"/>
      <c r="Q4" s="143"/>
    </row>
    <row r="5" spans="1:17" ht="19.5" customHeight="1" x14ac:dyDescent="0.2">
      <c r="B5" s="144" t="s">
        <v>62</v>
      </c>
      <c r="C5" s="167">
        <f>IFERROR(AVERAGE('3. Top Propiedades'!$L$5:$L$9),0)</f>
        <v>0</v>
      </c>
      <c r="D5" s="167">
        <f>IFERROR(AVERAGE('3. Top Propiedades'!$L$5:$L$9),0)</f>
        <v>0</v>
      </c>
      <c r="E5" s="167">
        <f>IFERROR(AVERAGE('3. Top Propiedades'!$L$5:$L$9),0)</f>
        <v>0</v>
      </c>
      <c r="F5" s="167">
        <f>IFERROR(AVERAGE('3. Top Propiedades'!$L$5:$L$9),0)</f>
        <v>0</v>
      </c>
      <c r="G5" s="167">
        <f>IFERROR(AVERAGE('3. Top Propiedades'!$L$5:$L$9),0)</f>
        <v>0</v>
      </c>
      <c r="H5" s="167">
        <f>IFERROR(AVERAGE('3. Top Propiedades'!$L$5:$L$9),0)</f>
        <v>0</v>
      </c>
      <c r="I5" s="167">
        <f>IFERROR(AVERAGE('3. Top Propiedades'!$L$5:$L$9),0)</f>
        <v>0</v>
      </c>
      <c r="J5" s="167">
        <f>IFERROR(AVERAGE('3. Top Propiedades'!$L$5:$L$9),0)</f>
        <v>0</v>
      </c>
      <c r="K5" s="167">
        <f>IFERROR(AVERAGE('3. Top Propiedades'!$L$5:$L$9),0)</f>
        <v>0</v>
      </c>
      <c r="L5" s="167">
        <f>IFERROR(AVERAGE('3. Top Propiedades'!$L$5:$L$9),0)</f>
        <v>0</v>
      </c>
      <c r="M5" s="167">
        <f>IFERROR(AVERAGE('3. Top Propiedades'!$L$5:$L$9),0)</f>
        <v>0</v>
      </c>
      <c r="N5" s="167">
        <f>IFERROR(AVERAGE('3. Top Propiedades'!$L$5:$L$9),0)</f>
        <v>0</v>
      </c>
      <c r="O5" s="101">
        <f>IFERROR(AVERAGE(C5:N5),"")</f>
        <v>0</v>
      </c>
      <c r="P5" s="145" t="s">
        <v>63</v>
      </c>
      <c r="Q5" s="28" t="s">
        <v>207</v>
      </c>
    </row>
    <row r="6" spans="1:17" ht="19.5" customHeight="1" x14ac:dyDescent="0.2">
      <c r="B6" s="144" t="s">
        <v>65</v>
      </c>
      <c r="C6" s="168">
        <f>IFERROR(AVERAGE('3. Top Propiedades'!$M$5:$M$9),0)</f>
        <v>0</v>
      </c>
      <c r="D6" s="168">
        <f>IFERROR(AVERAGE('3. Top Propiedades'!$M$5:$M$9),0)</f>
        <v>0</v>
      </c>
      <c r="E6" s="168">
        <f>IFERROR(AVERAGE('3. Top Propiedades'!$M$5:$M$9),0)</f>
        <v>0</v>
      </c>
      <c r="F6" s="168">
        <f>IFERROR(AVERAGE('3. Top Propiedades'!$M$5:$M$9),0)</f>
        <v>0</v>
      </c>
      <c r="G6" s="168">
        <f>IFERROR(AVERAGE('3. Top Propiedades'!$M$5:$M$9),0)</f>
        <v>0</v>
      </c>
      <c r="H6" s="168">
        <f>IFERROR(AVERAGE('3. Top Propiedades'!$M$5:$M$9),0)</f>
        <v>0</v>
      </c>
      <c r="I6" s="168">
        <f>IFERROR(AVERAGE('3. Top Propiedades'!$M$5:$M$9),0)</f>
        <v>0</v>
      </c>
      <c r="J6" s="168">
        <f>IFERROR(AVERAGE('3. Top Propiedades'!$M$5:$M$9),0)</f>
        <v>0</v>
      </c>
      <c r="K6" s="168">
        <f>IFERROR(AVERAGE('3. Top Propiedades'!$M$5:$M$9),0)</f>
        <v>0</v>
      </c>
      <c r="L6" s="168">
        <f>IFERROR(AVERAGE('3. Top Propiedades'!$M$5:$M$9),0)</f>
        <v>0</v>
      </c>
      <c r="M6" s="168">
        <f>IFERROR(AVERAGE('3. Top Propiedades'!$M$5:$M$9),0)</f>
        <v>0</v>
      </c>
      <c r="N6" s="168">
        <f>IFERROR(AVERAGE('3. Top Propiedades'!$M$5:$M$9),0)</f>
        <v>0</v>
      </c>
      <c r="O6" s="169">
        <f>IFERROR(AVERAGE(C6:N6),"")</f>
        <v>0</v>
      </c>
      <c r="P6" s="146" t="s">
        <v>63</v>
      </c>
      <c r="Q6" s="28" t="s">
        <v>208</v>
      </c>
    </row>
    <row r="7" spans="1:17" ht="15.75" customHeight="1" x14ac:dyDescent="0.2">
      <c r="B7" s="147" t="s">
        <v>67</v>
      </c>
      <c r="C7" s="148">
        <v>31</v>
      </c>
      <c r="D7" s="148">
        <v>28</v>
      </c>
      <c r="E7" s="148">
        <v>31</v>
      </c>
      <c r="F7" s="148">
        <v>30</v>
      </c>
      <c r="G7" s="148">
        <v>31</v>
      </c>
      <c r="H7" s="148">
        <v>30</v>
      </c>
      <c r="I7" s="148">
        <v>31</v>
      </c>
      <c r="J7" s="148">
        <v>31</v>
      </c>
      <c r="K7" s="148">
        <v>30</v>
      </c>
      <c r="L7" s="148">
        <v>31</v>
      </c>
      <c r="M7" s="148">
        <v>30</v>
      </c>
      <c r="N7" s="148">
        <v>31</v>
      </c>
      <c r="O7" s="149">
        <v>365</v>
      </c>
      <c r="P7" s="170">
        <f>O7/12</f>
        <v>30.416666666666668</v>
      </c>
      <c r="Q7" s="28" t="s">
        <v>68</v>
      </c>
    </row>
    <row r="8" spans="1:17" ht="19.5" customHeight="1" x14ac:dyDescent="0.2">
      <c r="B8" s="150" t="s">
        <v>69</v>
      </c>
      <c r="C8" s="101">
        <f t="shared" ref="C8:N8" si="0">IFERROR(C5*C6*C7,0)</f>
        <v>0</v>
      </c>
      <c r="D8" s="101">
        <f t="shared" si="0"/>
        <v>0</v>
      </c>
      <c r="E8" s="101">
        <f t="shared" si="0"/>
        <v>0</v>
      </c>
      <c r="F8" s="101">
        <f t="shared" si="0"/>
        <v>0</v>
      </c>
      <c r="G8" s="101">
        <f t="shared" si="0"/>
        <v>0</v>
      </c>
      <c r="H8" s="101">
        <f t="shared" si="0"/>
        <v>0</v>
      </c>
      <c r="I8" s="101">
        <f t="shared" si="0"/>
        <v>0</v>
      </c>
      <c r="J8" s="101">
        <f t="shared" si="0"/>
        <v>0</v>
      </c>
      <c r="K8" s="101">
        <f t="shared" si="0"/>
        <v>0</v>
      </c>
      <c r="L8" s="101">
        <f t="shared" si="0"/>
        <v>0</v>
      </c>
      <c r="M8" s="101">
        <f t="shared" si="0"/>
        <v>0</v>
      </c>
      <c r="N8" s="101">
        <f t="shared" si="0"/>
        <v>0</v>
      </c>
      <c r="O8" s="101">
        <f>SUM(C8:N8)</f>
        <v>0</v>
      </c>
      <c r="P8" s="101">
        <f>IFERROR(O8/12,"")</f>
        <v>0</v>
      </c>
      <c r="Q8" s="28" t="s">
        <v>70</v>
      </c>
    </row>
    <row r="9" spans="1:17" ht="18" customHeight="1" x14ac:dyDescent="0.2">
      <c r="B9" s="144" t="s">
        <v>71</v>
      </c>
      <c r="C9" s="167">
        <f>IFERROR('1. Perfil'!C23,0)</f>
        <v>0</v>
      </c>
      <c r="D9" s="167">
        <f>IFERROR('1. Perfil'!C23,0)</f>
        <v>0</v>
      </c>
      <c r="E9" s="167">
        <f>IFERROR('1. Perfil'!C23,0)</f>
        <v>0</v>
      </c>
      <c r="F9" s="167">
        <f>IFERROR('1. Perfil'!C23,0)</f>
        <v>0</v>
      </c>
      <c r="G9" s="167">
        <f>IFERROR('1. Perfil'!C23,0)</f>
        <v>0</v>
      </c>
      <c r="H9" s="167">
        <f>IFERROR('1. Perfil'!C23,0)</f>
        <v>0</v>
      </c>
      <c r="I9" s="167">
        <f>IFERROR('1. Perfil'!C23,0)</f>
        <v>0</v>
      </c>
      <c r="J9" s="167">
        <f>IFERROR('1. Perfil'!C23,0)</f>
        <v>0</v>
      </c>
      <c r="K9" s="167">
        <f>IFERROR('1. Perfil'!C23,0)</f>
        <v>0</v>
      </c>
      <c r="L9" s="167">
        <f>IFERROR('1. Perfil'!C23,0)</f>
        <v>0</v>
      </c>
      <c r="M9" s="167">
        <f>IFERROR('1. Perfil'!C23,0)</f>
        <v>0</v>
      </c>
      <c r="N9" s="167">
        <f>IFERROR('1. Perfil'!C23,0)</f>
        <v>0</v>
      </c>
      <c r="O9" s="167">
        <f>IFERROR('1. Perfil'!C23,0)</f>
        <v>0</v>
      </c>
      <c r="P9" s="146" t="s">
        <v>72</v>
      </c>
      <c r="Q9" s="28" t="s">
        <v>73</v>
      </c>
    </row>
    <row r="10" spans="1:17" ht="19.5" customHeight="1" x14ac:dyDescent="0.2">
      <c r="B10" s="144" t="s">
        <v>74</v>
      </c>
      <c r="C10" s="192">
        <f>IFERROR('4a. Factibilidad'!C10,0)</f>
        <v>0</v>
      </c>
      <c r="D10" s="192">
        <f>IFERROR('4a. Factibilidad'!D10,0)</f>
        <v>0</v>
      </c>
      <c r="E10" s="192">
        <f>IFERROR('4a. Factibilidad'!E10,0)</f>
        <v>0</v>
      </c>
      <c r="F10" s="192">
        <f>IFERROR('4a. Factibilidad'!F10,0)</f>
        <v>0</v>
      </c>
      <c r="G10" s="192">
        <f>IFERROR('4a. Factibilidad'!G10,0)</f>
        <v>0</v>
      </c>
      <c r="H10" s="192">
        <f>IFERROR('4a. Factibilidad'!H10,0)</f>
        <v>0</v>
      </c>
      <c r="I10" s="192">
        <f>IFERROR('4a. Factibilidad'!I10,0)</f>
        <v>0</v>
      </c>
      <c r="J10" s="192">
        <f>IFERROR('4a. Factibilidad'!J10,0)</f>
        <v>0</v>
      </c>
      <c r="K10" s="192">
        <f>IFERROR('4a. Factibilidad'!K10,0)</f>
        <v>0</v>
      </c>
      <c r="L10" s="192">
        <f>IFERROR('4a. Factibilidad'!L10,0)</f>
        <v>0</v>
      </c>
      <c r="M10" s="192">
        <f>IFERROR('4a. Factibilidad'!M10,0)</f>
        <v>0</v>
      </c>
      <c r="N10" s="192">
        <f>IFERROR('4a. Factibilidad'!N10,0)</f>
        <v>0</v>
      </c>
      <c r="O10" s="171">
        <f>SUM(C10:N10)</f>
        <v>0</v>
      </c>
      <c r="P10" s="172">
        <f>IFERROR(O10/12,"")</f>
        <v>0</v>
      </c>
      <c r="Q10" s="28" t="s">
        <v>75</v>
      </c>
    </row>
    <row r="11" spans="1:17" ht="18" customHeight="1" x14ac:dyDescent="0.2">
      <c r="B11" s="152" t="s">
        <v>124</v>
      </c>
      <c r="C11" s="173">
        <f t="shared" ref="C11:N11" si="1">IFERROR(C9*C10,0)</f>
        <v>0</v>
      </c>
      <c r="D11" s="173">
        <f t="shared" si="1"/>
        <v>0</v>
      </c>
      <c r="E11" s="173">
        <f t="shared" si="1"/>
        <v>0</v>
      </c>
      <c r="F11" s="173">
        <f t="shared" si="1"/>
        <v>0</v>
      </c>
      <c r="G11" s="173">
        <f t="shared" si="1"/>
        <v>0</v>
      </c>
      <c r="H11" s="173">
        <f t="shared" si="1"/>
        <v>0</v>
      </c>
      <c r="I11" s="173">
        <f t="shared" si="1"/>
        <v>0</v>
      </c>
      <c r="J11" s="173">
        <f t="shared" si="1"/>
        <v>0</v>
      </c>
      <c r="K11" s="173">
        <f t="shared" si="1"/>
        <v>0</v>
      </c>
      <c r="L11" s="173">
        <f t="shared" si="1"/>
        <v>0</v>
      </c>
      <c r="M11" s="173">
        <f t="shared" si="1"/>
        <v>0</v>
      </c>
      <c r="N11" s="173">
        <f t="shared" si="1"/>
        <v>0</v>
      </c>
      <c r="O11" s="173">
        <f>SUM(C11:N11)</f>
        <v>0</v>
      </c>
      <c r="P11" s="173">
        <f>IFERROR(O11/12,"")</f>
        <v>0</v>
      </c>
      <c r="Q11" s="28" t="s">
        <v>125</v>
      </c>
    </row>
    <row r="12" spans="1:17" ht="27.75" customHeight="1" x14ac:dyDescent="0.2">
      <c r="A12" s="6"/>
      <c r="B12" s="153" t="s">
        <v>76</v>
      </c>
      <c r="C12" s="174">
        <f t="shared" ref="C12:N12" si="2">C8</f>
        <v>0</v>
      </c>
      <c r="D12" s="174">
        <f t="shared" si="2"/>
        <v>0</v>
      </c>
      <c r="E12" s="174">
        <f t="shared" si="2"/>
        <v>0</v>
      </c>
      <c r="F12" s="174">
        <f t="shared" si="2"/>
        <v>0</v>
      </c>
      <c r="G12" s="174">
        <f t="shared" si="2"/>
        <v>0</v>
      </c>
      <c r="H12" s="174">
        <f t="shared" si="2"/>
        <v>0</v>
      </c>
      <c r="I12" s="174">
        <f t="shared" si="2"/>
        <v>0</v>
      </c>
      <c r="J12" s="174">
        <f t="shared" si="2"/>
        <v>0</v>
      </c>
      <c r="K12" s="174">
        <f t="shared" si="2"/>
        <v>0</v>
      </c>
      <c r="L12" s="174">
        <f t="shared" si="2"/>
        <v>0</v>
      </c>
      <c r="M12" s="174">
        <f t="shared" si="2"/>
        <v>0</v>
      </c>
      <c r="N12" s="174">
        <f t="shared" si="2"/>
        <v>0</v>
      </c>
      <c r="O12" s="174">
        <f>SUM(C12:N12)</f>
        <v>0</v>
      </c>
      <c r="P12" s="174">
        <f>IFERROR(O12/12,"")</f>
        <v>0</v>
      </c>
      <c r="Q12" s="143"/>
    </row>
    <row r="13" spans="1:17" ht="21.75" customHeight="1" x14ac:dyDescent="0.2">
      <c r="A13" s="3"/>
      <c r="B13" s="24" t="s">
        <v>77</v>
      </c>
      <c r="C13" s="25"/>
      <c r="D13" s="25"/>
      <c r="E13" s="25"/>
      <c r="F13" s="25"/>
      <c r="G13" s="25"/>
      <c r="H13" s="25"/>
      <c r="I13" s="25"/>
      <c r="J13" s="25"/>
      <c r="K13" s="25"/>
      <c r="L13" s="25"/>
      <c r="M13" s="25"/>
      <c r="N13" s="25"/>
      <c r="O13" s="25"/>
      <c r="P13" s="25"/>
      <c r="Q13" s="25"/>
    </row>
    <row r="14" spans="1:17" ht="19.5" customHeight="1" x14ac:dyDescent="0.2">
      <c r="B14" s="144" t="s">
        <v>78</v>
      </c>
      <c r="C14" s="193">
        <f>IFERROR('4a. Factibilidad'!C14,0)</f>
        <v>0</v>
      </c>
      <c r="D14" s="193">
        <f>IFERROR('4a. Factibilidad'!D14,0)</f>
        <v>0</v>
      </c>
      <c r="E14" s="193">
        <f>IFERROR('4a. Factibilidad'!E14,0)</f>
        <v>0</v>
      </c>
      <c r="F14" s="193">
        <f>IFERROR('4a. Factibilidad'!F14,0)</f>
        <v>0</v>
      </c>
      <c r="G14" s="193">
        <f>IFERROR('4a. Factibilidad'!G14,0)</f>
        <v>0</v>
      </c>
      <c r="H14" s="193">
        <f>IFERROR('4a. Factibilidad'!H14,0)</f>
        <v>0</v>
      </c>
      <c r="I14" s="193">
        <f>IFERROR('4a. Factibilidad'!I14,0)</f>
        <v>0</v>
      </c>
      <c r="J14" s="193">
        <f>IFERROR('4a. Factibilidad'!J14,0)</f>
        <v>0</v>
      </c>
      <c r="K14" s="193">
        <f>IFERROR('4a. Factibilidad'!K14,0)</f>
        <v>0</v>
      </c>
      <c r="L14" s="193">
        <f>IFERROR('4a. Factibilidad'!L14,0)</f>
        <v>0</v>
      </c>
      <c r="M14" s="193">
        <f>IFERROR('4a. Factibilidad'!M14,0)</f>
        <v>0</v>
      </c>
      <c r="N14" s="193">
        <f>IFERROR('4a. Factibilidad'!N14,0)</f>
        <v>0</v>
      </c>
      <c r="O14" s="101">
        <f t="shared" ref="O14:O20" si="3">SUM(C14:N14)</f>
        <v>0</v>
      </c>
      <c r="P14" s="101">
        <f t="shared" ref="P14:P20" si="4">IFERROR(O14/12,"")</f>
        <v>0</v>
      </c>
      <c r="Q14" s="28" t="s">
        <v>79</v>
      </c>
    </row>
    <row r="15" spans="1:17" ht="19.5" customHeight="1" x14ac:dyDescent="0.2">
      <c r="B15" s="144" t="s">
        <v>80</v>
      </c>
      <c r="C15" s="193">
        <f>IFERROR('4a. Factibilidad'!C15,0)</f>
        <v>0</v>
      </c>
      <c r="D15" s="193">
        <f>IFERROR('4a. Factibilidad'!D15,0)</f>
        <v>0</v>
      </c>
      <c r="E15" s="193">
        <f>IFERROR('4a. Factibilidad'!E15,0)</f>
        <v>0</v>
      </c>
      <c r="F15" s="193">
        <f>IFERROR('4a. Factibilidad'!F15,0)</f>
        <v>0</v>
      </c>
      <c r="G15" s="193">
        <f>IFERROR('4a. Factibilidad'!G15,0)</f>
        <v>0</v>
      </c>
      <c r="H15" s="193">
        <f>IFERROR('4a. Factibilidad'!H15,0)</f>
        <v>0</v>
      </c>
      <c r="I15" s="193">
        <f>IFERROR('4a. Factibilidad'!I15,0)</f>
        <v>0</v>
      </c>
      <c r="J15" s="193">
        <f>IFERROR('4a. Factibilidad'!J15,0)</f>
        <v>0</v>
      </c>
      <c r="K15" s="193">
        <f>IFERROR('4a. Factibilidad'!K15,0)</f>
        <v>0</v>
      </c>
      <c r="L15" s="193">
        <f>IFERROR('4a. Factibilidad'!L15,0)</f>
        <v>0</v>
      </c>
      <c r="M15" s="193">
        <f>IFERROR('4a. Factibilidad'!M15,0)</f>
        <v>0</v>
      </c>
      <c r="N15" s="193">
        <f>IFERROR('4a. Factibilidad'!N15,0)</f>
        <v>0</v>
      </c>
      <c r="O15" s="101">
        <f t="shared" si="3"/>
        <v>0</v>
      </c>
      <c r="P15" s="101">
        <f t="shared" si="4"/>
        <v>0</v>
      </c>
      <c r="Q15" s="23"/>
    </row>
    <row r="16" spans="1:17" ht="19.5" customHeight="1" x14ac:dyDescent="0.2">
      <c r="B16" s="144" t="s">
        <v>81</v>
      </c>
      <c r="C16" s="193">
        <f>IFERROR('4a. Factibilidad'!C16,0)</f>
        <v>0</v>
      </c>
      <c r="D16" s="193">
        <f>IFERROR('4a. Factibilidad'!D16,0)</f>
        <v>0</v>
      </c>
      <c r="E16" s="193">
        <f>IFERROR('4a. Factibilidad'!E16,0)</f>
        <v>0</v>
      </c>
      <c r="F16" s="193">
        <f>IFERROR('4a. Factibilidad'!F16,0)</f>
        <v>0</v>
      </c>
      <c r="G16" s="193">
        <f>IFERROR('4a. Factibilidad'!G16,0)</f>
        <v>0</v>
      </c>
      <c r="H16" s="193">
        <f>IFERROR('4a. Factibilidad'!H16,0)</f>
        <v>0</v>
      </c>
      <c r="I16" s="193">
        <f>IFERROR('4a. Factibilidad'!I16,0)</f>
        <v>0</v>
      </c>
      <c r="J16" s="193">
        <f>IFERROR('4a. Factibilidad'!J16,0)</f>
        <v>0</v>
      </c>
      <c r="K16" s="193">
        <f>IFERROR('4a. Factibilidad'!K16,0)</f>
        <v>0</v>
      </c>
      <c r="L16" s="193">
        <f>IFERROR('4a. Factibilidad'!L16,0)</f>
        <v>0</v>
      </c>
      <c r="M16" s="193">
        <f>IFERROR('4a. Factibilidad'!M16,0)</f>
        <v>0</v>
      </c>
      <c r="N16" s="193">
        <f>IFERROR('4a. Factibilidad'!N16,0)</f>
        <v>0</v>
      </c>
      <c r="O16" s="101">
        <f t="shared" si="3"/>
        <v>0</v>
      </c>
      <c r="P16" s="101">
        <f t="shared" si="4"/>
        <v>0</v>
      </c>
      <c r="Q16" s="23"/>
    </row>
    <row r="17" spans="1:17" ht="19.5" customHeight="1" x14ac:dyDescent="0.2">
      <c r="B17" s="196" t="s">
        <v>82</v>
      </c>
      <c r="C17" s="201">
        <f>IFERROR('4a. Factibilidad'!C17,0)</f>
        <v>0</v>
      </c>
      <c r="D17" s="201">
        <f>IFERROR('4a. Factibilidad'!D17,0)</f>
        <v>0</v>
      </c>
      <c r="E17" s="201">
        <f>IFERROR('4a. Factibilidad'!E17,0)</f>
        <v>0</v>
      </c>
      <c r="F17" s="201">
        <f>IFERROR('4a. Factibilidad'!F17,0)</f>
        <v>0</v>
      </c>
      <c r="G17" s="201">
        <f>IFERROR('4a. Factibilidad'!G17,0)</f>
        <v>0</v>
      </c>
      <c r="H17" s="201">
        <f>IFERROR('4a. Factibilidad'!H17,0)</f>
        <v>0</v>
      </c>
      <c r="I17" s="201">
        <f>IFERROR('4a. Factibilidad'!I17,0)</f>
        <v>0</v>
      </c>
      <c r="J17" s="201">
        <f>IFERROR('4a. Factibilidad'!J17,0)</f>
        <v>0</v>
      </c>
      <c r="K17" s="201">
        <f>IFERROR('4a. Factibilidad'!K17,0)</f>
        <v>0</v>
      </c>
      <c r="L17" s="201">
        <f>IFERROR('4a. Factibilidad'!L17,0)</f>
        <v>0</v>
      </c>
      <c r="M17" s="201">
        <f>IFERROR('4a. Factibilidad'!M17,0)</f>
        <v>0</v>
      </c>
      <c r="N17" s="201">
        <f>IFERROR('4a. Factibilidad'!N17,0)</f>
        <v>0</v>
      </c>
      <c r="O17" s="198">
        <f t="shared" si="3"/>
        <v>0</v>
      </c>
      <c r="P17" s="198">
        <f t="shared" si="4"/>
        <v>0</v>
      </c>
      <c r="Q17" s="23"/>
    </row>
    <row r="18" spans="1:17" ht="19.5" customHeight="1" x14ac:dyDescent="0.2">
      <c r="B18" s="203" t="str">
        <f>'4a. Factibilidad'!B18</f>
        <v>(agregar concepto)</v>
      </c>
      <c r="C18" s="201">
        <f>IFERROR('4a. Factibilidad'!C18,0)</f>
        <v>0</v>
      </c>
      <c r="D18" s="201">
        <f>IFERROR('4a. Factibilidad'!D18,0)</f>
        <v>0</v>
      </c>
      <c r="E18" s="201">
        <f>IFERROR('4a. Factibilidad'!E18,0)</f>
        <v>0</v>
      </c>
      <c r="F18" s="201">
        <f>IFERROR('4a. Factibilidad'!F18,0)</f>
        <v>0</v>
      </c>
      <c r="G18" s="201">
        <f>IFERROR('4a. Factibilidad'!G18,0)</f>
        <v>0</v>
      </c>
      <c r="H18" s="201">
        <f>IFERROR('4a. Factibilidad'!H18,0)</f>
        <v>0</v>
      </c>
      <c r="I18" s="201">
        <f>IFERROR('4a. Factibilidad'!I18,0)</f>
        <v>0</v>
      </c>
      <c r="J18" s="201">
        <f>IFERROR('4a. Factibilidad'!J18,0)</f>
        <v>0</v>
      </c>
      <c r="K18" s="201">
        <f>IFERROR('4a. Factibilidad'!K18,0)</f>
        <v>0</v>
      </c>
      <c r="L18" s="201">
        <f>IFERROR('4a. Factibilidad'!L18,0)</f>
        <v>0</v>
      </c>
      <c r="M18" s="201">
        <f>IFERROR('4a. Factibilidad'!M18,0)</f>
        <v>0</v>
      </c>
      <c r="N18" s="201">
        <f>IFERROR('4a. Factibilidad'!N18,0)</f>
        <v>0</v>
      </c>
      <c r="O18" s="198">
        <f t="shared" si="3"/>
        <v>0</v>
      </c>
      <c r="P18" s="198">
        <f t="shared" si="4"/>
        <v>0</v>
      </c>
      <c r="Q18" s="23"/>
    </row>
    <row r="19" spans="1:17" ht="19.5" customHeight="1" x14ac:dyDescent="0.2">
      <c r="B19" s="203" t="str">
        <f>'4a. Factibilidad'!B19</f>
        <v>(agregar concepto)</v>
      </c>
      <c r="C19" s="201">
        <f>IFERROR('4a. Factibilidad'!C19,0)</f>
        <v>0</v>
      </c>
      <c r="D19" s="201">
        <f>IFERROR('4a. Factibilidad'!D19,0)</f>
        <v>0</v>
      </c>
      <c r="E19" s="201">
        <f>IFERROR('4a. Factibilidad'!E19,0)</f>
        <v>0</v>
      </c>
      <c r="F19" s="201">
        <f>IFERROR('4a. Factibilidad'!F19,0)</f>
        <v>0</v>
      </c>
      <c r="G19" s="201">
        <f>IFERROR('4a. Factibilidad'!G19,0)</f>
        <v>0</v>
      </c>
      <c r="H19" s="201">
        <f>IFERROR('4a. Factibilidad'!H19,0)</f>
        <v>0</v>
      </c>
      <c r="I19" s="201">
        <f>IFERROR('4a. Factibilidad'!I19,0)</f>
        <v>0</v>
      </c>
      <c r="J19" s="201">
        <f>IFERROR('4a. Factibilidad'!J19,0)</f>
        <v>0</v>
      </c>
      <c r="K19" s="201">
        <f>IFERROR('4a. Factibilidad'!K19,0)</f>
        <v>0</v>
      </c>
      <c r="L19" s="201">
        <f>IFERROR('4a. Factibilidad'!L19,0)</f>
        <v>0</v>
      </c>
      <c r="M19" s="201">
        <f>IFERROR('4a. Factibilidad'!M19,0)</f>
        <v>0</v>
      </c>
      <c r="N19" s="201">
        <f>IFERROR('4a. Factibilidad'!N19,0)</f>
        <v>0</v>
      </c>
      <c r="O19" s="198">
        <f t="shared" si="3"/>
        <v>0</v>
      </c>
      <c r="P19" s="198">
        <f t="shared" si="4"/>
        <v>0</v>
      </c>
      <c r="Q19" s="23"/>
    </row>
    <row r="20" spans="1:17" ht="19.5" customHeight="1" x14ac:dyDescent="0.2">
      <c r="B20" s="202" t="str">
        <f>'4a. Factibilidad'!B20</f>
        <v>(agregar concepto)</v>
      </c>
      <c r="C20" s="193">
        <f>IFERROR('4a. Factibilidad'!C20,0)</f>
        <v>0</v>
      </c>
      <c r="D20" s="193">
        <f>IFERROR('4a. Factibilidad'!D20,0)</f>
        <v>0</v>
      </c>
      <c r="E20" s="193">
        <f>IFERROR('4a. Factibilidad'!E20,0)</f>
        <v>0</v>
      </c>
      <c r="F20" s="193">
        <f>IFERROR('4a. Factibilidad'!F20,0)</f>
        <v>0</v>
      </c>
      <c r="G20" s="193">
        <f>IFERROR('4a. Factibilidad'!G20,0)</f>
        <v>0</v>
      </c>
      <c r="H20" s="193">
        <f>IFERROR('4a. Factibilidad'!H20,0)</f>
        <v>0</v>
      </c>
      <c r="I20" s="193">
        <f>IFERROR('4a. Factibilidad'!I20,0)</f>
        <v>0</v>
      </c>
      <c r="J20" s="193">
        <f>IFERROR('4a. Factibilidad'!J20,0)</f>
        <v>0</v>
      </c>
      <c r="K20" s="193">
        <f>IFERROR('4a. Factibilidad'!K20,0)</f>
        <v>0</v>
      </c>
      <c r="L20" s="193">
        <f>IFERROR('4a. Factibilidad'!L20,0)</f>
        <v>0</v>
      </c>
      <c r="M20" s="193">
        <f>IFERROR('4a. Factibilidad'!M20,0)</f>
        <v>0</v>
      </c>
      <c r="N20" s="193">
        <f>IFERROR('4a. Factibilidad'!N20,0)</f>
        <v>0</v>
      </c>
      <c r="O20" s="101">
        <f t="shared" si="3"/>
        <v>0</v>
      </c>
      <c r="P20" s="101">
        <f t="shared" si="4"/>
        <v>0</v>
      </c>
      <c r="Q20" s="23"/>
    </row>
    <row r="21" spans="1:17" ht="21.75" customHeight="1" x14ac:dyDescent="0.2">
      <c r="A21" s="3"/>
      <c r="B21" s="24" t="s">
        <v>83</v>
      </c>
      <c r="C21" s="25"/>
      <c r="D21" s="25"/>
      <c r="E21" s="25"/>
      <c r="F21" s="25"/>
      <c r="G21" s="25"/>
      <c r="H21" s="25"/>
      <c r="I21" s="25"/>
      <c r="J21" s="25"/>
      <c r="K21" s="25"/>
      <c r="L21" s="25"/>
      <c r="M21" s="25"/>
      <c r="N21" s="25"/>
      <c r="O21" s="25"/>
      <c r="P21" s="25"/>
      <c r="Q21" s="25"/>
    </row>
    <row r="22" spans="1:17" ht="19.5" customHeight="1" x14ac:dyDescent="0.2">
      <c r="B22" s="144" t="s">
        <v>84</v>
      </c>
      <c r="C22" s="193">
        <f>IFERROR('4a. Factibilidad'!C22,0)</f>
        <v>0</v>
      </c>
      <c r="D22" s="193">
        <f>IFERROR('4a. Factibilidad'!D22,0)</f>
        <v>0</v>
      </c>
      <c r="E22" s="193">
        <f>IFERROR('4a. Factibilidad'!E22,0)</f>
        <v>0</v>
      </c>
      <c r="F22" s="193">
        <f>IFERROR('4a. Factibilidad'!F22,0)</f>
        <v>0</v>
      </c>
      <c r="G22" s="193">
        <f>IFERROR('4a. Factibilidad'!G22,0)</f>
        <v>0</v>
      </c>
      <c r="H22" s="194">
        <f>IFERROR('4a. Factibilidad'!H22,0)</f>
        <v>0</v>
      </c>
      <c r="I22" s="193">
        <f>IFERROR('4a. Factibilidad'!I22,0)</f>
        <v>0</v>
      </c>
      <c r="J22" s="193">
        <f>IFERROR('4a. Factibilidad'!J22,0)</f>
        <v>0</v>
      </c>
      <c r="K22" s="193">
        <f>IFERROR('4a. Factibilidad'!K22,0)</f>
        <v>0</v>
      </c>
      <c r="L22" s="193">
        <f>IFERROR('4a. Factibilidad'!L22,0)</f>
        <v>0</v>
      </c>
      <c r="M22" s="193">
        <f>IFERROR('4a. Factibilidad'!M22,0)</f>
        <v>0</v>
      </c>
      <c r="N22" s="194">
        <f>IFERROR('4a. Factibilidad'!N22,0)</f>
        <v>0</v>
      </c>
      <c r="O22" s="101">
        <f t="shared" ref="O22:O27" si="5">SUM(C22:N22)</f>
        <v>0</v>
      </c>
      <c r="P22" s="100">
        <f t="shared" ref="P22:P27" si="6">IFERROR(O22/12,"")</f>
        <v>0</v>
      </c>
      <c r="Q22" s="28" t="s">
        <v>85</v>
      </c>
    </row>
    <row r="23" spans="1:17" ht="19.5" customHeight="1" x14ac:dyDescent="0.2">
      <c r="B23" s="158" t="s">
        <v>86</v>
      </c>
      <c r="C23" s="193">
        <f>IFERROR('4a. Factibilidad'!C23,0)</f>
        <v>0</v>
      </c>
      <c r="D23" s="193">
        <f>IFERROR('4a. Factibilidad'!D23,0)</f>
        <v>0</v>
      </c>
      <c r="E23" s="193">
        <f>IFERROR('4a. Factibilidad'!E23,0)</f>
        <v>0</v>
      </c>
      <c r="F23" s="193">
        <f>IFERROR('4a. Factibilidad'!F23,0)</f>
        <v>0</v>
      </c>
      <c r="G23" s="193">
        <f>IFERROR('4a. Factibilidad'!G23,0)</f>
        <v>0</v>
      </c>
      <c r="H23" s="193">
        <f>IFERROR('4a. Factibilidad'!H23,0)</f>
        <v>0</v>
      </c>
      <c r="I23" s="193">
        <f>IFERROR('4a. Factibilidad'!I23,0)</f>
        <v>0</v>
      </c>
      <c r="J23" s="193">
        <f>IFERROR('4a. Factibilidad'!J23,0)</f>
        <v>0</v>
      </c>
      <c r="K23" s="193">
        <f>IFERROR('4a. Factibilidad'!K23,0)</f>
        <v>0</v>
      </c>
      <c r="L23" s="193">
        <f>IFERROR('4a. Factibilidad'!L23,0)</f>
        <v>0</v>
      </c>
      <c r="M23" s="193">
        <f>IFERROR('4a. Factibilidad'!M23,0)</f>
        <v>0</v>
      </c>
      <c r="N23" s="193">
        <f>IFERROR('4a. Factibilidad'!N23,0)</f>
        <v>0</v>
      </c>
      <c r="O23" s="101">
        <f t="shared" si="5"/>
        <v>0</v>
      </c>
      <c r="P23" s="101">
        <f t="shared" si="6"/>
        <v>0</v>
      </c>
      <c r="Q23" s="28" t="s">
        <v>87</v>
      </c>
    </row>
    <row r="24" spans="1:17" ht="19.5" customHeight="1" x14ac:dyDescent="0.2">
      <c r="B24" s="144" t="s">
        <v>88</v>
      </c>
      <c r="C24" s="193">
        <f>IFERROR('4a. Factibilidad'!C24,0)</f>
        <v>0</v>
      </c>
      <c r="D24" s="193">
        <f>IFERROR('4a. Factibilidad'!D24,0)</f>
        <v>0</v>
      </c>
      <c r="E24" s="193">
        <f>IFERROR('4a. Factibilidad'!E24,0)</f>
        <v>0</v>
      </c>
      <c r="F24" s="193">
        <f>IFERROR('4a. Factibilidad'!F24,0)</f>
        <v>0</v>
      </c>
      <c r="G24" s="193">
        <f>IFERROR('4a. Factibilidad'!G24,0)</f>
        <v>0</v>
      </c>
      <c r="H24" s="193">
        <f>IFERROR('4a. Factibilidad'!H24,0)</f>
        <v>0</v>
      </c>
      <c r="I24" s="193">
        <f>IFERROR('4a. Factibilidad'!I24,0)</f>
        <v>0</v>
      </c>
      <c r="J24" s="193">
        <f>IFERROR('4a. Factibilidad'!J24,0)</f>
        <v>0</v>
      </c>
      <c r="K24" s="193">
        <f>IFERROR('4a. Factibilidad'!K24,0)</f>
        <v>0</v>
      </c>
      <c r="L24" s="193">
        <f>IFERROR('4a. Factibilidad'!L24,0)</f>
        <v>0</v>
      </c>
      <c r="M24" s="193">
        <f>IFERROR('4a. Factibilidad'!M24,0)</f>
        <v>0</v>
      </c>
      <c r="N24" s="193">
        <f>IFERROR('4a. Factibilidad'!N24,0)</f>
        <v>0</v>
      </c>
      <c r="O24" s="101">
        <f t="shared" si="5"/>
        <v>0</v>
      </c>
      <c r="P24" s="101">
        <f t="shared" si="6"/>
        <v>0</v>
      </c>
      <c r="Q24" s="28" t="s">
        <v>89</v>
      </c>
    </row>
    <row r="25" spans="1:17" ht="19.5" customHeight="1" x14ac:dyDescent="0.2">
      <c r="B25" s="144" t="s">
        <v>90</v>
      </c>
      <c r="C25" s="193">
        <f>IFERROR('4a. Factibilidad'!C25,0)</f>
        <v>0</v>
      </c>
      <c r="D25" s="193">
        <f>IFERROR('4a. Factibilidad'!D25,0)</f>
        <v>0</v>
      </c>
      <c r="E25" s="194">
        <f>IFERROR('4a. Factibilidad'!E25,0)</f>
        <v>0</v>
      </c>
      <c r="F25" s="193">
        <f>IFERROR('4a. Factibilidad'!F25,0)</f>
        <v>0</v>
      </c>
      <c r="G25" s="195">
        <f>IFERROR('4a. Factibilidad'!G25,0)</f>
        <v>0</v>
      </c>
      <c r="H25" s="194">
        <f>IFERROR('4a. Factibilidad'!H25,0)</f>
        <v>0</v>
      </c>
      <c r="I25" s="193">
        <f>IFERROR('4a. Factibilidad'!I25,0)</f>
        <v>0</v>
      </c>
      <c r="J25" s="193">
        <f>IFERROR('4a. Factibilidad'!J25,0)</f>
        <v>0</v>
      </c>
      <c r="K25" s="194">
        <f>IFERROR('4a. Factibilidad'!K25,0)</f>
        <v>0</v>
      </c>
      <c r="L25" s="193">
        <f>IFERROR('4a. Factibilidad'!L25,0)</f>
        <v>0</v>
      </c>
      <c r="M25" s="193">
        <f>IFERROR('4a. Factibilidad'!M25,0)</f>
        <v>0</v>
      </c>
      <c r="N25" s="194">
        <f>IFERROR('4a. Factibilidad'!N25,0)</f>
        <v>0</v>
      </c>
      <c r="O25" s="101">
        <f t="shared" si="5"/>
        <v>0</v>
      </c>
      <c r="P25" s="100">
        <f t="shared" si="6"/>
        <v>0</v>
      </c>
      <c r="Q25" s="28" t="s">
        <v>91</v>
      </c>
    </row>
    <row r="26" spans="1:17" ht="19.5" customHeight="1" x14ac:dyDescent="0.2">
      <c r="B26" s="144" t="s">
        <v>92</v>
      </c>
      <c r="C26" s="193">
        <f>IFERROR('4a. Factibilidad'!C26,0)</f>
        <v>0</v>
      </c>
      <c r="D26" s="193">
        <f>IFERROR('4a. Factibilidad'!D26,0)</f>
        <v>0</v>
      </c>
      <c r="E26" s="193">
        <f>IFERROR('4a. Factibilidad'!E26,0)</f>
        <v>0</v>
      </c>
      <c r="F26" s="193">
        <f>IFERROR('4a. Factibilidad'!F26,0)</f>
        <v>0</v>
      </c>
      <c r="G26" s="193">
        <f>IFERROR('4a. Factibilidad'!G26,0)</f>
        <v>0</v>
      </c>
      <c r="H26" s="193">
        <f>IFERROR('4a. Factibilidad'!H26,0)</f>
        <v>0</v>
      </c>
      <c r="I26" s="193">
        <f>IFERROR('4a. Factibilidad'!I26,0)</f>
        <v>0</v>
      </c>
      <c r="J26" s="193">
        <f>IFERROR('4a. Factibilidad'!J26,0)</f>
        <v>0</v>
      </c>
      <c r="K26" s="193">
        <f>IFERROR('4a. Factibilidad'!K26,0)</f>
        <v>0</v>
      </c>
      <c r="L26" s="193">
        <f>IFERROR('4a. Factibilidad'!L26,0)</f>
        <v>0</v>
      </c>
      <c r="M26" s="193">
        <f>IFERROR('4a. Factibilidad'!M26,0)</f>
        <v>0</v>
      </c>
      <c r="N26" s="193">
        <f>IFERROR('4a. Factibilidad'!N26,0)</f>
        <v>0</v>
      </c>
      <c r="O26" s="101">
        <f t="shared" si="5"/>
        <v>0</v>
      </c>
      <c r="P26" s="101">
        <f t="shared" si="6"/>
        <v>0</v>
      </c>
      <c r="Q26" s="23"/>
    </row>
    <row r="27" spans="1:17" ht="19.5" customHeight="1" x14ac:dyDescent="0.2">
      <c r="B27" s="196" t="s">
        <v>93</v>
      </c>
      <c r="C27" s="201">
        <f>IFERROR('4a. Factibilidad'!C27,0)</f>
        <v>0</v>
      </c>
      <c r="D27" s="201">
        <f>IFERROR('4a. Factibilidad'!D27,0)</f>
        <v>0</v>
      </c>
      <c r="E27" s="201">
        <f>IFERROR('4a. Factibilidad'!E27,0)</f>
        <v>0</v>
      </c>
      <c r="F27" s="201">
        <f>IFERROR('4a. Factibilidad'!F27,0)</f>
        <v>0</v>
      </c>
      <c r="G27" s="201">
        <f>IFERROR('4a. Factibilidad'!G27,0)</f>
        <v>0</v>
      </c>
      <c r="H27" s="201">
        <f>IFERROR('4a. Factibilidad'!H27,0)</f>
        <v>0</v>
      </c>
      <c r="I27" s="201">
        <f>IFERROR('4a. Factibilidad'!I27,0)</f>
        <v>0</v>
      </c>
      <c r="J27" s="201">
        <f>IFERROR('4a. Factibilidad'!J27,0)</f>
        <v>0</v>
      </c>
      <c r="K27" s="201">
        <f>IFERROR('4a. Factibilidad'!K27,0)</f>
        <v>0</v>
      </c>
      <c r="L27" s="201">
        <f>IFERROR('4a. Factibilidad'!L27,0)</f>
        <v>0</v>
      </c>
      <c r="M27" s="201">
        <f>IFERROR('4a. Factibilidad'!M27,0)</f>
        <v>0</v>
      </c>
      <c r="N27" s="201">
        <f>IFERROR('4a. Factibilidad'!N27,0)</f>
        <v>0</v>
      </c>
      <c r="O27" s="198">
        <f t="shared" si="5"/>
        <v>0</v>
      </c>
      <c r="P27" s="198">
        <f t="shared" si="6"/>
        <v>0</v>
      </c>
      <c r="Q27" s="28" t="s">
        <v>94</v>
      </c>
    </row>
    <row r="28" spans="1:17" ht="19.5" customHeight="1" x14ac:dyDescent="0.2">
      <c r="B28" s="203" t="str">
        <f>'4a. Factibilidad'!B28</f>
        <v>(agregar concepto)</v>
      </c>
      <c r="C28" s="201">
        <f>IFERROR('4a. Factibilidad'!C28,0)</f>
        <v>0</v>
      </c>
      <c r="D28" s="201">
        <f>IFERROR('4a. Factibilidad'!D28,0)</f>
        <v>0</v>
      </c>
      <c r="E28" s="201">
        <f>IFERROR('4a. Factibilidad'!E28,0)</f>
        <v>0</v>
      </c>
      <c r="F28" s="201">
        <f>IFERROR('4a. Factibilidad'!F28,0)</f>
        <v>0</v>
      </c>
      <c r="G28" s="201">
        <f>IFERROR('4a. Factibilidad'!G28,0)</f>
        <v>0</v>
      </c>
      <c r="H28" s="201">
        <f>IFERROR('4a. Factibilidad'!H28,0)</f>
        <v>0</v>
      </c>
      <c r="I28" s="201">
        <f>IFERROR('4a. Factibilidad'!I28,0)</f>
        <v>0</v>
      </c>
      <c r="J28" s="201">
        <f>IFERROR('4a. Factibilidad'!J28,0)</f>
        <v>0</v>
      </c>
      <c r="K28" s="201">
        <f>IFERROR('4a. Factibilidad'!K28,0)</f>
        <v>0</v>
      </c>
      <c r="L28" s="201">
        <f>IFERROR('4a. Factibilidad'!L28,0)</f>
        <v>0</v>
      </c>
      <c r="M28" s="201">
        <f>IFERROR('4a. Factibilidad'!M28,0)</f>
        <v>0</v>
      </c>
      <c r="N28" s="201">
        <f>IFERROR('4a. Factibilidad'!N28,0)</f>
        <v>0</v>
      </c>
      <c r="O28" s="198">
        <f>SUM(C28:N28)</f>
        <v>0</v>
      </c>
      <c r="P28" s="198">
        <f>IFERROR(O28/12,"")</f>
        <v>0</v>
      </c>
      <c r="Q28" s="28"/>
    </row>
    <row r="29" spans="1:17" ht="19.5" customHeight="1" x14ac:dyDescent="0.2">
      <c r="B29" s="203" t="str">
        <f>'4a. Factibilidad'!B29</f>
        <v>(agregar concepto)</v>
      </c>
      <c r="C29" s="201">
        <f>IFERROR('4a. Factibilidad'!C29,0)</f>
        <v>0</v>
      </c>
      <c r="D29" s="201">
        <f>IFERROR('4a. Factibilidad'!D29,0)</f>
        <v>0</v>
      </c>
      <c r="E29" s="201">
        <f>IFERROR('4a. Factibilidad'!E29,0)</f>
        <v>0</v>
      </c>
      <c r="F29" s="201">
        <f>IFERROR('4a. Factibilidad'!F29,0)</f>
        <v>0</v>
      </c>
      <c r="G29" s="201">
        <f>IFERROR('4a. Factibilidad'!G29,0)</f>
        <v>0</v>
      </c>
      <c r="H29" s="201">
        <f>IFERROR('4a. Factibilidad'!H29,0)</f>
        <v>0</v>
      </c>
      <c r="I29" s="201">
        <f>IFERROR('4a. Factibilidad'!I29,0)</f>
        <v>0</v>
      </c>
      <c r="J29" s="201">
        <f>IFERROR('4a. Factibilidad'!J29,0)</f>
        <v>0</v>
      </c>
      <c r="K29" s="201">
        <f>IFERROR('4a. Factibilidad'!K29,0)</f>
        <v>0</v>
      </c>
      <c r="L29" s="201">
        <f>IFERROR('4a. Factibilidad'!L29,0)</f>
        <v>0</v>
      </c>
      <c r="M29" s="201">
        <f>IFERROR('4a. Factibilidad'!M29,0)</f>
        <v>0</v>
      </c>
      <c r="N29" s="201">
        <f>IFERROR('4a. Factibilidad'!N29,0)</f>
        <v>0</v>
      </c>
      <c r="O29" s="198">
        <f>SUM(C29:N29)</f>
        <v>0</v>
      </c>
      <c r="P29" s="198">
        <f>IFERROR(O29/12,"")</f>
        <v>0</v>
      </c>
      <c r="Q29" s="28"/>
    </row>
    <row r="30" spans="1:17" ht="19.5" customHeight="1" x14ac:dyDescent="0.2">
      <c r="B30" s="202" t="str">
        <f>'4a. Factibilidad'!B30</f>
        <v>(agregar concepto)</v>
      </c>
      <c r="C30" s="193">
        <f>IFERROR('4a. Factibilidad'!C30,0)</f>
        <v>0</v>
      </c>
      <c r="D30" s="193">
        <f>IFERROR('4a. Factibilidad'!D30,0)</f>
        <v>0</v>
      </c>
      <c r="E30" s="193">
        <f>IFERROR('4a. Factibilidad'!E30,0)</f>
        <v>0</v>
      </c>
      <c r="F30" s="193">
        <f>IFERROR('4a. Factibilidad'!F30,0)</f>
        <v>0</v>
      </c>
      <c r="G30" s="193">
        <f>IFERROR('4a. Factibilidad'!G30,0)</f>
        <v>0</v>
      </c>
      <c r="H30" s="193">
        <f>IFERROR('4a. Factibilidad'!H30,0)</f>
        <v>0</v>
      </c>
      <c r="I30" s="193">
        <f>IFERROR('4a. Factibilidad'!I30,0)</f>
        <v>0</v>
      </c>
      <c r="J30" s="193">
        <f>IFERROR('4a. Factibilidad'!J30,0)</f>
        <v>0</v>
      </c>
      <c r="K30" s="193">
        <f>IFERROR('4a. Factibilidad'!K30,0)</f>
        <v>0</v>
      </c>
      <c r="L30" s="193">
        <f>IFERROR('4a. Factibilidad'!L30,0)</f>
        <v>0</v>
      </c>
      <c r="M30" s="193">
        <f>IFERROR('4a. Factibilidad'!M30,0)</f>
        <v>0</v>
      </c>
      <c r="N30" s="193">
        <f>IFERROR('4a. Factibilidad'!N30,0)</f>
        <v>0</v>
      </c>
      <c r="O30" s="101">
        <f>SUM(C30:N30)</f>
        <v>0</v>
      </c>
      <c r="P30" s="101">
        <f>IFERROR(O30/12,"")</f>
        <v>0</v>
      </c>
      <c r="Q30" s="28"/>
    </row>
    <row r="31" spans="1:17" ht="21.75" customHeight="1" x14ac:dyDescent="0.2">
      <c r="A31" s="1"/>
      <c r="B31" s="30" t="s">
        <v>95</v>
      </c>
      <c r="C31" s="31"/>
      <c r="D31" s="31"/>
      <c r="E31" s="31"/>
      <c r="F31" s="31"/>
      <c r="G31" s="31"/>
      <c r="H31" s="31"/>
      <c r="I31" s="31"/>
      <c r="J31" s="31"/>
      <c r="K31" s="31"/>
      <c r="L31" s="31"/>
      <c r="M31" s="31"/>
      <c r="N31" s="31"/>
      <c r="O31" s="31"/>
      <c r="P31" s="31"/>
      <c r="Q31" s="31"/>
    </row>
    <row r="32" spans="1:17" ht="19.5" customHeight="1" x14ac:dyDescent="0.2">
      <c r="B32" s="144" t="s">
        <v>96</v>
      </c>
      <c r="C32" s="175">
        <f>IFERROR('4a. Factibilidad'!C32,0)</f>
        <v>0</v>
      </c>
      <c r="D32" s="176">
        <f t="shared" ref="D32:N32" si="7">$C$32</f>
        <v>0</v>
      </c>
      <c r="E32" s="176">
        <f t="shared" si="7"/>
        <v>0</v>
      </c>
      <c r="F32" s="176">
        <f t="shared" si="7"/>
        <v>0</v>
      </c>
      <c r="G32" s="176">
        <f t="shared" si="7"/>
        <v>0</v>
      </c>
      <c r="H32" s="176">
        <f t="shared" si="7"/>
        <v>0</v>
      </c>
      <c r="I32" s="176">
        <f t="shared" si="7"/>
        <v>0</v>
      </c>
      <c r="J32" s="176">
        <f t="shared" si="7"/>
        <v>0</v>
      </c>
      <c r="K32" s="176">
        <f t="shared" si="7"/>
        <v>0</v>
      </c>
      <c r="L32" s="176">
        <f t="shared" si="7"/>
        <v>0</v>
      </c>
      <c r="M32" s="176">
        <f t="shared" si="7"/>
        <v>0</v>
      </c>
      <c r="N32" s="176">
        <f t="shared" si="7"/>
        <v>0</v>
      </c>
      <c r="O32" s="101">
        <f t="shared" ref="O32:O39" si="8">SUM(C32:N32)</f>
        <v>0</v>
      </c>
      <c r="P32" s="100">
        <f t="shared" ref="P32:P39" si="9">IFERROR(O32/12,"")</f>
        <v>0</v>
      </c>
      <c r="Q32" s="28" t="s">
        <v>97</v>
      </c>
    </row>
    <row r="33" spans="1:17" ht="19.5" customHeight="1" x14ac:dyDescent="0.2">
      <c r="B33" s="144" t="s">
        <v>98</v>
      </c>
      <c r="C33" s="193">
        <f>IFERROR('4a. Factibilidad'!C33,0)</f>
        <v>0</v>
      </c>
      <c r="D33" s="176">
        <f>IFERROR('4a. Factibilidad'!D33,0)</f>
        <v>0</v>
      </c>
      <c r="E33" s="176">
        <f>IFERROR('4a. Factibilidad'!E33,0)</f>
        <v>0</v>
      </c>
      <c r="F33" s="176">
        <f>IFERROR('4a. Factibilidad'!F33,0)</f>
        <v>0</v>
      </c>
      <c r="G33" s="176">
        <f>IFERROR('4a. Factibilidad'!G33,0)</f>
        <v>0</v>
      </c>
      <c r="H33" s="176">
        <f>IFERROR('4a. Factibilidad'!H33,0)</f>
        <v>0</v>
      </c>
      <c r="I33" s="176">
        <f>IFERROR('4a. Factibilidad'!I33,0)</f>
        <v>0</v>
      </c>
      <c r="J33" s="176">
        <f>IFERROR('4a. Factibilidad'!J33,0)</f>
        <v>0</v>
      </c>
      <c r="K33" s="176">
        <f>IFERROR('4a. Factibilidad'!K33,0)</f>
        <v>0</v>
      </c>
      <c r="L33" s="176">
        <f>IFERROR('4a. Factibilidad'!L33,0)</f>
        <v>0</v>
      </c>
      <c r="M33" s="176">
        <f>IFERROR('4a. Factibilidad'!M33,0)</f>
        <v>0</v>
      </c>
      <c r="N33" s="176">
        <f>IFERROR('4a. Factibilidad'!N33,0)</f>
        <v>0</v>
      </c>
      <c r="O33" s="101">
        <f t="shared" si="8"/>
        <v>0</v>
      </c>
      <c r="P33" s="101">
        <f t="shared" si="9"/>
        <v>0</v>
      </c>
      <c r="Q33" s="28" t="s">
        <v>99</v>
      </c>
    </row>
    <row r="34" spans="1:17" ht="22" customHeight="1" x14ac:dyDescent="0.2">
      <c r="B34" s="158" t="s">
        <v>126</v>
      </c>
      <c r="C34" s="193">
        <f>IFERROR('4a. Factibilidad'!C34,0)</f>
        <v>0</v>
      </c>
      <c r="D34" s="176">
        <f>IFERROR('4a. Factibilidad'!D34,0)</f>
        <v>0</v>
      </c>
      <c r="E34" s="176">
        <f>IFERROR('4a. Factibilidad'!E34,0)</f>
        <v>0</v>
      </c>
      <c r="F34" s="176">
        <f>IFERROR('4a. Factibilidad'!F34,0)</f>
        <v>0</v>
      </c>
      <c r="G34" s="176">
        <f>IFERROR('4a. Factibilidad'!G34,0)</f>
        <v>0</v>
      </c>
      <c r="H34" s="176">
        <f>IFERROR('4a. Factibilidad'!H34,0)</f>
        <v>0</v>
      </c>
      <c r="I34" s="176">
        <f>IFERROR('4a. Factibilidad'!I34,0)</f>
        <v>0</v>
      </c>
      <c r="J34" s="176">
        <f>IFERROR('4a. Factibilidad'!J34,0)</f>
        <v>0</v>
      </c>
      <c r="K34" s="176">
        <f>IFERROR('4a. Factibilidad'!K34,0)</f>
        <v>0</v>
      </c>
      <c r="L34" s="176">
        <f>IFERROR('4a. Factibilidad'!L34,0)</f>
        <v>0</v>
      </c>
      <c r="M34" s="176">
        <f>IFERROR('4a. Factibilidad'!M34,0)</f>
        <v>0</v>
      </c>
      <c r="N34" s="176">
        <f>IFERROR('4a. Factibilidad'!N34,0)</f>
        <v>0</v>
      </c>
      <c r="O34" s="101">
        <f t="shared" si="8"/>
        <v>0</v>
      </c>
      <c r="P34" s="101">
        <f t="shared" si="9"/>
        <v>0</v>
      </c>
      <c r="Q34" s="23"/>
    </row>
    <row r="35" spans="1:17" ht="19.5" customHeight="1" x14ac:dyDescent="0.2">
      <c r="B35" s="144" t="s">
        <v>101</v>
      </c>
      <c r="C35" s="154">
        <v>0</v>
      </c>
      <c r="D35" s="176">
        <f t="shared" ref="D35:N35" si="10">$C$35</f>
        <v>0</v>
      </c>
      <c r="E35" s="176">
        <f t="shared" si="10"/>
        <v>0</v>
      </c>
      <c r="F35" s="176">
        <f t="shared" si="10"/>
        <v>0</v>
      </c>
      <c r="G35" s="176">
        <f t="shared" si="10"/>
        <v>0</v>
      </c>
      <c r="H35" s="176">
        <f t="shared" si="10"/>
        <v>0</v>
      </c>
      <c r="I35" s="176">
        <f t="shared" si="10"/>
        <v>0</v>
      </c>
      <c r="J35" s="176">
        <f t="shared" si="10"/>
        <v>0</v>
      </c>
      <c r="K35" s="176">
        <f t="shared" si="10"/>
        <v>0</v>
      </c>
      <c r="L35" s="176">
        <f t="shared" si="10"/>
        <v>0</v>
      </c>
      <c r="M35" s="176">
        <f t="shared" si="10"/>
        <v>0</v>
      </c>
      <c r="N35" s="176">
        <f t="shared" si="10"/>
        <v>0</v>
      </c>
      <c r="O35" s="101">
        <f t="shared" si="8"/>
        <v>0</v>
      </c>
      <c r="P35" s="101">
        <f t="shared" si="9"/>
        <v>0</v>
      </c>
      <c r="Q35" s="23"/>
    </row>
    <row r="36" spans="1:17" ht="19.5" customHeight="1" x14ac:dyDescent="0.2">
      <c r="B36" s="217" t="str">
        <f>'4a. Factibilidad'!B36</f>
        <v>(agregar concepto)</v>
      </c>
      <c r="C36" s="206">
        <f>IFERROR('4a. Factibilidad'!C36,0)</f>
        <v>0</v>
      </c>
      <c r="D36" s="208">
        <f>IFERROR('4a. Factibilidad'!D36,0)</f>
        <v>0</v>
      </c>
      <c r="E36" s="208">
        <f>IFERROR('4a. Factibilidad'!E36,0)</f>
        <v>0</v>
      </c>
      <c r="F36" s="208">
        <f>IFERROR('4a. Factibilidad'!F36,0)</f>
        <v>0</v>
      </c>
      <c r="G36" s="208">
        <f>IFERROR('4a. Factibilidad'!G36,0)</f>
        <v>0</v>
      </c>
      <c r="H36" s="208">
        <f>IFERROR('4a. Factibilidad'!H36,0)</f>
        <v>0</v>
      </c>
      <c r="I36" s="208">
        <f>IFERROR('4a. Factibilidad'!I36,0)</f>
        <v>0</v>
      </c>
      <c r="J36" s="208">
        <f>IFERROR('4a. Factibilidad'!J36,0)</f>
        <v>0</v>
      </c>
      <c r="K36" s="208">
        <f>IFERROR('4a. Factibilidad'!K36,0)</f>
        <v>0</v>
      </c>
      <c r="L36" s="208">
        <f>IFERROR('4a. Factibilidad'!L36,0)</f>
        <v>0</v>
      </c>
      <c r="M36" s="208">
        <f>IFERROR('4a. Factibilidad'!M36,0)</f>
        <v>0</v>
      </c>
      <c r="N36" s="208">
        <f>IFERROR('4a. Factibilidad'!N36,0)</f>
        <v>0</v>
      </c>
      <c r="O36" s="209">
        <f t="shared" si="8"/>
        <v>0</v>
      </c>
      <c r="P36" s="210">
        <f t="shared" si="9"/>
        <v>0</v>
      </c>
      <c r="Q36" s="28"/>
    </row>
    <row r="37" spans="1:17" ht="19.5" customHeight="1" x14ac:dyDescent="0.2">
      <c r="B37" s="217" t="str">
        <f>'4a. Factibilidad'!B37</f>
        <v>(agregar concepto)</v>
      </c>
      <c r="C37" s="206">
        <f>IFERROR('4a. Factibilidad'!C37,0)</f>
        <v>0</v>
      </c>
      <c r="D37" s="208">
        <f>IFERROR('4a. Factibilidad'!D37,0)</f>
        <v>0</v>
      </c>
      <c r="E37" s="208">
        <f>IFERROR('4a. Factibilidad'!E37,0)</f>
        <v>0</v>
      </c>
      <c r="F37" s="208">
        <f>IFERROR('4a. Factibilidad'!F37,0)</f>
        <v>0</v>
      </c>
      <c r="G37" s="208">
        <f>IFERROR('4a. Factibilidad'!G37,0)</f>
        <v>0</v>
      </c>
      <c r="H37" s="208">
        <f>IFERROR('4a. Factibilidad'!H37,0)</f>
        <v>0</v>
      </c>
      <c r="I37" s="208">
        <f>IFERROR('4a. Factibilidad'!I37,0)</f>
        <v>0</v>
      </c>
      <c r="J37" s="208">
        <f>IFERROR('4a. Factibilidad'!J37,0)</f>
        <v>0</v>
      </c>
      <c r="K37" s="208">
        <f>IFERROR('4a. Factibilidad'!K37,0)</f>
        <v>0</v>
      </c>
      <c r="L37" s="208">
        <f>IFERROR('4a. Factibilidad'!L37,0)</f>
        <v>0</v>
      </c>
      <c r="M37" s="208">
        <f>IFERROR('4a. Factibilidad'!M37,0)</f>
        <v>0</v>
      </c>
      <c r="N37" s="208">
        <f>IFERROR('4a. Factibilidad'!N37,0)</f>
        <v>0</v>
      </c>
      <c r="O37" s="209">
        <f t="shared" si="8"/>
        <v>0</v>
      </c>
      <c r="P37" s="210">
        <f t="shared" si="9"/>
        <v>0</v>
      </c>
      <c r="Q37" s="28"/>
    </row>
    <row r="38" spans="1:17" ht="19.5" customHeight="1" x14ac:dyDescent="0.2">
      <c r="B38" s="217" t="str">
        <f>'4a. Factibilidad'!B38</f>
        <v>(agregar concepto)</v>
      </c>
      <c r="C38" s="206">
        <f>IFERROR('4a. Factibilidad'!C38,0)</f>
        <v>0</v>
      </c>
      <c r="D38" s="208">
        <f>IFERROR('4a. Factibilidad'!D38,0)</f>
        <v>0</v>
      </c>
      <c r="E38" s="208">
        <f>IFERROR('4a. Factibilidad'!E38,0)</f>
        <v>0</v>
      </c>
      <c r="F38" s="208">
        <f>IFERROR('4a. Factibilidad'!F38,0)</f>
        <v>0</v>
      </c>
      <c r="G38" s="208">
        <f>IFERROR('4a. Factibilidad'!G38,0)</f>
        <v>0</v>
      </c>
      <c r="H38" s="208">
        <f>IFERROR('4a. Factibilidad'!H38,0)</f>
        <v>0</v>
      </c>
      <c r="I38" s="208">
        <f>IFERROR('4a. Factibilidad'!I38,0)</f>
        <v>0</v>
      </c>
      <c r="J38" s="208">
        <f>IFERROR('4a. Factibilidad'!J38,0)</f>
        <v>0</v>
      </c>
      <c r="K38" s="208">
        <f>IFERROR('4a. Factibilidad'!K38,0)</f>
        <v>0</v>
      </c>
      <c r="L38" s="208">
        <f>IFERROR('4a. Factibilidad'!L38,0)</f>
        <v>0</v>
      </c>
      <c r="M38" s="208">
        <f>IFERROR('4a. Factibilidad'!M38,0)</f>
        <v>0</v>
      </c>
      <c r="N38" s="208">
        <f>IFERROR('4a. Factibilidad'!N38,0)</f>
        <v>0</v>
      </c>
      <c r="O38" s="209">
        <f t="shared" si="8"/>
        <v>0</v>
      </c>
      <c r="P38" s="210">
        <f t="shared" si="9"/>
        <v>0</v>
      </c>
      <c r="Q38" s="28"/>
    </row>
    <row r="39" spans="1:17" ht="19.5" customHeight="1" x14ac:dyDescent="0.2">
      <c r="B39" s="211" t="str">
        <f>'4a. Factibilidad'!B39</f>
        <v>Comisión plataforma (Airbnb)</v>
      </c>
      <c r="C39" s="212">
        <f>IFERROR('4a. Factibilidad'!C39,0)</f>
        <v>0</v>
      </c>
      <c r="D39" s="215">
        <f>IFERROR('4a. Factibilidad'!D39,0)</f>
        <v>0</v>
      </c>
      <c r="E39" s="215">
        <f>IFERROR('4a. Factibilidad'!E39,0)</f>
        <v>0</v>
      </c>
      <c r="F39" s="215">
        <f>IFERROR('4a. Factibilidad'!F39,0)</f>
        <v>0</v>
      </c>
      <c r="G39" s="215">
        <f>IFERROR('4a. Factibilidad'!G39,0)</f>
        <v>0</v>
      </c>
      <c r="H39" s="215">
        <f>IFERROR('4a. Factibilidad'!H39,0)</f>
        <v>0</v>
      </c>
      <c r="I39" s="215">
        <f>IFERROR('4a. Factibilidad'!I39,0)</f>
        <v>0</v>
      </c>
      <c r="J39" s="215">
        <f>IFERROR('4a. Factibilidad'!J39,0)</f>
        <v>0</v>
      </c>
      <c r="K39" s="215">
        <f>IFERROR('4a. Factibilidad'!K39,0)</f>
        <v>0</v>
      </c>
      <c r="L39" s="215">
        <f>IFERROR('4a. Factibilidad'!L39,0)</f>
        <v>0</v>
      </c>
      <c r="M39" s="215">
        <f>IFERROR('4a. Factibilidad'!M39,0)</f>
        <v>0</v>
      </c>
      <c r="N39" s="215">
        <f>IFERROR('4a. Factibilidad'!N39,0)</f>
        <v>0</v>
      </c>
      <c r="O39" s="214">
        <f t="shared" si="8"/>
        <v>0</v>
      </c>
      <c r="P39" s="215">
        <f t="shared" si="9"/>
        <v>0</v>
      </c>
      <c r="Q39" s="28"/>
    </row>
    <row r="40" spans="1:17" ht="21.75" customHeight="1" x14ac:dyDescent="0.2">
      <c r="A40" s="3"/>
      <c r="B40" s="24" t="s">
        <v>103</v>
      </c>
      <c r="C40" s="25"/>
      <c r="D40" s="25"/>
      <c r="E40" s="25"/>
      <c r="F40" s="25"/>
      <c r="G40" s="25"/>
      <c r="H40" s="25"/>
      <c r="I40" s="25"/>
      <c r="J40" s="25"/>
      <c r="K40" s="25"/>
      <c r="L40" s="25"/>
      <c r="M40" s="25"/>
      <c r="N40" s="25"/>
      <c r="O40" s="25"/>
      <c r="P40" s="25"/>
      <c r="Q40" s="25"/>
    </row>
    <row r="41" spans="1:17" ht="19.5" customHeight="1" x14ac:dyDescent="0.2">
      <c r="B41" s="158" t="s">
        <v>199</v>
      </c>
      <c r="C41" s="193">
        <f>IFERROR('4a. Factibilidad'!C41,0)</f>
        <v>0</v>
      </c>
      <c r="D41" s="193">
        <f>IFERROR('4a. Factibilidad'!D41,0)</f>
        <v>0</v>
      </c>
      <c r="E41" s="193">
        <f>IFERROR('4a. Factibilidad'!E41,0)</f>
        <v>0</v>
      </c>
      <c r="F41" s="193">
        <f>IFERROR('4a. Factibilidad'!F41,0)</f>
        <v>0</v>
      </c>
      <c r="G41" s="193">
        <f>IFERROR('4a. Factibilidad'!G41,0)</f>
        <v>0</v>
      </c>
      <c r="H41" s="193">
        <f>IFERROR('4a. Factibilidad'!H41,0)</f>
        <v>0</v>
      </c>
      <c r="I41" s="193">
        <f>IFERROR('4a. Factibilidad'!I41,0)</f>
        <v>0</v>
      </c>
      <c r="J41" s="193">
        <f>IFERROR('4a. Factibilidad'!J41,0)</f>
        <v>0</v>
      </c>
      <c r="K41" s="193">
        <f>IFERROR('4a. Factibilidad'!K41,0)</f>
        <v>0</v>
      </c>
      <c r="L41" s="193">
        <f>IFERROR('4a. Factibilidad'!L41,0)</f>
        <v>0</v>
      </c>
      <c r="M41" s="193">
        <f>IFERROR('4a. Factibilidad'!M41,0)</f>
        <v>0</v>
      </c>
      <c r="N41" s="193">
        <f>IFERROR('4a. Factibilidad'!N41,0)</f>
        <v>0</v>
      </c>
      <c r="O41" s="101">
        <f t="shared" ref="O41:O46" si="11">SUM(C41:N41)</f>
        <v>0</v>
      </c>
      <c r="P41" s="101">
        <f t="shared" ref="P41:P46" si="12">IFERROR(O41/12,"")</f>
        <v>0</v>
      </c>
      <c r="Q41" s="28" t="s">
        <v>105</v>
      </c>
    </row>
    <row r="42" spans="1:17" ht="19.5" customHeight="1" x14ac:dyDescent="0.2">
      <c r="B42" s="144" t="s">
        <v>106</v>
      </c>
      <c r="C42" s="193">
        <f>IFERROR('4a. Factibilidad'!C42,0)</f>
        <v>0</v>
      </c>
      <c r="D42" s="193">
        <f>IFERROR('4a. Factibilidad'!D42,0)</f>
        <v>0</v>
      </c>
      <c r="E42" s="193">
        <f>IFERROR('4a. Factibilidad'!E42,0)</f>
        <v>0</v>
      </c>
      <c r="F42" s="193">
        <f>IFERROR('4a. Factibilidad'!F42,0)</f>
        <v>0</v>
      </c>
      <c r="G42" s="193">
        <f>IFERROR('4a. Factibilidad'!G42,0)</f>
        <v>0</v>
      </c>
      <c r="H42" s="193">
        <f>IFERROR('4a. Factibilidad'!H42,0)</f>
        <v>0</v>
      </c>
      <c r="I42" s="193">
        <f>IFERROR('4a. Factibilidad'!I42,0)</f>
        <v>0</v>
      </c>
      <c r="J42" s="193">
        <f>IFERROR('4a. Factibilidad'!J42,0)</f>
        <v>0</v>
      </c>
      <c r="K42" s="193">
        <f>IFERROR('4a. Factibilidad'!K42,0)</f>
        <v>0</v>
      </c>
      <c r="L42" s="193">
        <f>IFERROR('4a. Factibilidad'!L42,0)</f>
        <v>0</v>
      </c>
      <c r="M42" s="193">
        <f>IFERROR('4a. Factibilidad'!M42,0)</f>
        <v>0</v>
      </c>
      <c r="N42" s="193">
        <f>IFERROR('4a. Factibilidad'!N42,0)</f>
        <v>0</v>
      </c>
      <c r="O42" s="101">
        <f t="shared" si="11"/>
        <v>0</v>
      </c>
      <c r="P42" s="101">
        <f t="shared" si="12"/>
        <v>0</v>
      </c>
      <c r="Q42" s="23"/>
    </row>
    <row r="43" spans="1:17" ht="19.5" customHeight="1" x14ac:dyDescent="0.2">
      <c r="B43" s="196" t="s">
        <v>107</v>
      </c>
      <c r="C43" s="201">
        <f>IFERROR('4a. Factibilidad'!C43,0)</f>
        <v>0</v>
      </c>
      <c r="D43" s="201">
        <f>IFERROR('4a. Factibilidad'!D43,0)</f>
        <v>0</v>
      </c>
      <c r="E43" s="201">
        <f>IFERROR('4a. Factibilidad'!E43,0)</f>
        <v>0</v>
      </c>
      <c r="F43" s="201">
        <f>IFERROR('4a. Factibilidad'!F43,0)</f>
        <v>0</v>
      </c>
      <c r="G43" s="201">
        <f>IFERROR('4a. Factibilidad'!G43,0)</f>
        <v>0</v>
      </c>
      <c r="H43" s="201">
        <f>IFERROR('4a. Factibilidad'!H43,0)</f>
        <v>0</v>
      </c>
      <c r="I43" s="201">
        <f>IFERROR('4a. Factibilidad'!I43,0)</f>
        <v>0</v>
      </c>
      <c r="J43" s="201">
        <f>IFERROR('4a. Factibilidad'!J43,0)</f>
        <v>0</v>
      </c>
      <c r="K43" s="201">
        <f>IFERROR('4a. Factibilidad'!K43,0)</f>
        <v>0</v>
      </c>
      <c r="L43" s="201">
        <f>IFERROR('4a. Factibilidad'!L43,0)</f>
        <v>0</v>
      </c>
      <c r="M43" s="201">
        <f>IFERROR('4a. Factibilidad'!M43,0)</f>
        <v>0</v>
      </c>
      <c r="N43" s="201">
        <f>IFERROR('4a. Factibilidad'!N43,0)</f>
        <v>0</v>
      </c>
      <c r="O43" s="198">
        <f t="shared" si="11"/>
        <v>0</v>
      </c>
      <c r="P43" s="198">
        <f t="shared" si="12"/>
        <v>0</v>
      </c>
      <c r="Q43" s="23"/>
    </row>
    <row r="44" spans="1:17" ht="19.5" customHeight="1" x14ac:dyDescent="0.2">
      <c r="B44" s="203" t="str">
        <f>'4a. Factibilidad'!B44</f>
        <v>(agregar concepto)</v>
      </c>
      <c r="C44" s="201">
        <f>IFERROR('4a. Factibilidad'!C44,0)</f>
        <v>0</v>
      </c>
      <c r="D44" s="201">
        <f>IFERROR('4a. Factibilidad'!D44,0)</f>
        <v>0</v>
      </c>
      <c r="E44" s="201">
        <f>IFERROR('4a. Factibilidad'!E44,0)</f>
        <v>0</v>
      </c>
      <c r="F44" s="201">
        <f>IFERROR('4a. Factibilidad'!F44,0)</f>
        <v>0</v>
      </c>
      <c r="G44" s="201">
        <f>IFERROR('4a. Factibilidad'!G44,0)</f>
        <v>0</v>
      </c>
      <c r="H44" s="201">
        <f>IFERROR('4a. Factibilidad'!H44,0)</f>
        <v>0</v>
      </c>
      <c r="I44" s="201">
        <f>IFERROR('4a. Factibilidad'!I44,0)</f>
        <v>0</v>
      </c>
      <c r="J44" s="201">
        <f>IFERROR('4a. Factibilidad'!J44,0)</f>
        <v>0</v>
      </c>
      <c r="K44" s="201">
        <f>IFERROR('4a. Factibilidad'!K44,0)</f>
        <v>0</v>
      </c>
      <c r="L44" s="201">
        <f>IFERROR('4a. Factibilidad'!L44,0)</f>
        <v>0</v>
      </c>
      <c r="M44" s="201">
        <f>IFERROR('4a. Factibilidad'!M44,0)</f>
        <v>0</v>
      </c>
      <c r="N44" s="201">
        <f>IFERROR('4a. Factibilidad'!N44,0)</f>
        <v>0</v>
      </c>
      <c r="O44" s="198">
        <f t="shared" si="11"/>
        <v>0</v>
      </c>
      <c r="P44" s="198">
        <f t="shared" si="12"/>
        <v>0</v>
      </c>
      <c r="Q44" s="23"/>
    </row>
    <row r="45" spans="1:17" ht="19.5" customHeight="1" x14ac:dyDescent="0.2">
      <c r="B45" s="203" t="str">
        <f>'4a. Factibilidad'!B45</f>
        <v>(agregar concepto)</v>
      </c>
      <c r="C45" s="201">
        <f>IFERROR('4a. Factibilidad'!C45,0)</f>
        <v>0</v>
      </c>
      <c r="D45" s="201">
        <f>IFERROR('4a. Factibilidad'!D45,0)</f>
        <v>0</v>
      </c>
      <c r="E45" s="201">
        <f>IFERROR('4a. Factibilidad'!E45,0)</f>
        <v>0</v>
      </c>
      <c r="F45" s="201">
        <f>IFERROR('4a. Factibilidad'!F45,0)</f>
        <v>0</v>
      </c>
      <c r="G45" s="201">
        <f>IFERROR('4a. Factibilidad'!G45,0)</f>
        <v>0</v>
      </c>
      <c r="H45" s="201">
        <f>IFERROR('4a. Factibilidad'!H45,0)</f>
        <v>0</v>
      </c>
      <c r="I45" s="201">
        <f>IFERROR('4a. Factibilidad'!I45,0)</f>
        <v>0</v>
      </c>
      <c r="J45" s="201">
        <f>IFERROR('4a. Factibilidad'!J45,0)</f>
        <v>0</v>
      </c>
      <c r="K45" s="201">
        <f>IFERROR('4a. Factibilidad'!K45,0)</f>
        <v>0</v>
      </c>
      <c r="L45" s="201">
        <f>IFERROR('4a. Factibilidad'!L45,0)</f>
        <v>0</v>
      </c>
      <c r="M45" s="201">
        <f>IFERROR('4a. Factibilidad'!M45,0)</f>
        <v>0</v>
      </c>
      <c r="N45" s="201">
        <f>IFERROR('4a. Factibilidad'!N45,0)</f>
        <v>0</v>
      </c>
      <c r="O45" s="198">
        <f t="shared" si="11"/>
        <v>0</v>
      </c>
      <c r="P45" s="198">
        <f t="shared" si="12"/>
        <v>0</v>
      </c>
      <c r="Q45" s="23"/>
    </row>
    <row r="46" spans="1:17" ht="19.5" customHeight="1" x14ac:dyDescent="0.2">
      <c r="B46" s="202" t="str">
        <f>'4a. Factibilidad'!B46</f>
        <v>(agregar concepto)</v>
      </c>
      <c r="C46" s="193">
        <f>IFERROR('4a. Factibilidad'!C46,0)</f>
        <v>0</v>
      </c>
      <c r="D46" s="193">
        <f>IFERROR('4a. Factibilidad'!D46,0)</f>
        <v>0</v>
      </c>
      <c r="E46" s="193">
        <f>IFERROR('4a. Factibilidad'!E46,0)</f>
        <v>0</v>
      </c>
      <c r="F46" s="193">
        <f>IFERROR('4a. Factibilidad'!F46,0)</f>
        <v>0</v>
      </c>
      <c r="G46" s="193">
        <f>IFERROR('4a. Factibilidad'!G46,0)</f>
        <v>0</v>
      </c>
      <c r="H46" s="193">
        <f>IFERROR('4a. Factibilidad'!H46,0)</f>
        <v>0</v>
      </c>
      <c r="I46" s="193">
        <f>IFERROR('4a. Factibilidad'!I46,0)</f>
        <v>0</v>
      </c>
      <c r="J46" s="193">
        <f>IFERROR('4a. Factibilidad'!J46,0)</f>
        <v>0</v>
      </c>
      <c r="K46" s="193">
        <f>IFERROR('4a. Factibilidad'!K46,0)</f>
        <v>0</v>
      </c>
      <c r="L46" s="193">
        <f>IFERROR('4a. Factibilidad'!L46,0)</f>
        <v>0</v>
      </c>
      <c r="M46" s="193">
        <f>IFERROR('4a. Factibilidad'!M46,0)</f>
        <v>0</v>
      </c>
      <c r="N46" s="193">
        <f>IFERROR('4a. Factibilidad'!N46,0)</f>
        <v>0</v>
      </c>
      <c r="O46" s="101">
        <f t="shared" si="11"/>
        <v>0</v>
      </c>
      <c r="P46" s="101">
        <f t="shared" si="12"/>
        <v>0</v>
      </c>
      <c r="Q46" s="23"/>
    </row>
    <row r="47" spans="1:17" ht="40" customHeight="1" thickBot="1" x14ac:dyDescent="0.25">
      <c r="A47" s="5"/>
      <c r="B47" s="159" t="s">
        <v>121</v>
      </c>
      <c r="C47" s="160"/>
      <c r="D47" s="160"/>
      <c r="E47" s="160"/>
      <c r="F47" s="160"/>
      <c r="G47" s="160"/>
      <c r="H47" s="160"/>
      <c r="I47" s="160"/>
      <c r="J47" s="160"/>
      <c r="K47" s="160"/>
      <c r="L47" s="160"/>
      <c r="M47" s="160"/>
      <c r="N47" s="160"/>
      <c r="O47" s="160"/>
      <c r="P47" s="160"/>
      <c r="Q47" s="160"/>
    </row>
    <row r="48" spans="1:17" ht="32" customHeight="1" thickTop="1" thickBot="1" x14ac:dyDescent="0.25">
      <c r="B48" s="250" t="str">
        <f>'4a. Factibilidad'!B48</f>
        <v>0%</v>
      </c>
      <c r="C48" s="177">
        <f t="shared" ref="C48:N48" si="13">IFERROR(C12*VALUE(SUBSTITUTE($B$48,"%",""))/100,0)</f>
        <v>0</v>
      </c>
      <c r="D48" s="178">
        <f t="shared" si="13"/>
        <v>0</v>
      </c>
      <c r="E48" s="178">
        <f t="shared" si="13"/>
        <v>0</v>
      </c>
      <c r="F48" s="178">
        <f t="shared" si="13"/>
        <v>0</v>
      </c>
      <c r="G48" s="178">
        <f t="shared" si="13"/>
        <v>0</v>
      </c>
      <c r="H48" s="178">
        <f t="shared" si="13"/>
        <v>0</v>
      </c>
      <c r="I48" s="178">
        <f t="shared" si="13"/>
        <v>0</v>
      </c>
      <c r="J48" s="178">
        <f t="shared" si="13"/>
        <v>0</v>
      </c>
      <c r="K48" s="178">
        <f t="shared" si="13"/>
        <v>0</v>
      </c>
      <c r="L48" s="178">
        <f t="shared" si="13"/>
        <v>0</v>
      </c>
      <c r="M48" s="178">
        <f t="shared" si="13"/>
        <v>0</v>
      </c>
      <c r="N48" s="178">
        <f t="shared" si="13"/>
        <v>0</v>
      </c>
      <c r="O48" s="179">
        <f>SUM(C48:N48)</f>
        <v>0</v>
      </c>
      <c r="P48" s="179">
        <f>IFERROR(O48/12,"")</f>
        <v>0</v>
      </c>
      <c r="Q48" s="162" t="s">
        <v>122</v>
      </c>
    </row>
    <row r="49" spans="1:17" ht="25.5" customHeight="1" thickTop="1" x14ac:dyDescent="0.2">
      <c r="A49" s="7"/>
      <c r="B49" s="163" t="s">
        <v>108</v>
      </c>
      <c r="C49" s="180">
        <f t="shared" ref="C49:N49" si="14">SUM(C14:C20)+SUM(C22:C30)+SUM(C32:C39)+SUM(C41:C46)+C48</f>
        <v>0</v>
      </c>
      <c r="D49" s="180">
        <f t="shared" si="14"/>
        <v>0</v>
      </c>
      <c r="E49" s="180">
        <f t="shared" si="14"/>
        <v>0</v>
      </c>
      <c r="F49" s="180">
        <f t="shared" si="14"/>
        <v>0</v>
      </c>
      <c r="G49" s="180">
        <f t="shared" si="14"/>
        <v>0</v>
      </c>
      <c r="H49" s="180">
        <f t="shared" si="14"/>
        <v>0</v>
      </c>
      <c r="I49" s="180">
        <f t="shared" si="14"/>
        <v>0</v>
      </c>
      <c r="J49" s="180">
        <f t="shared" si="14"/>
        <v>0</v>
      </c>
      <c r="K49" s="180">
        <f t="shared" si="14"/>
        <v>0</v>
      </c>
      <c r="L49" s="180">
        <f t="shared" si="14"/>
        <v>0</v>
      </c>
      <c r="M49" s="180">
        <f t="shared" si="14"/>
        <v>0</v>
      </c>
      <c r="N49" s="180">
        <f t="shared" si="14"/>
        <v>0</v>
      </c>
      <c r="O49" s="180">
        <f>SUM(C49:N49)</f>
        <v>0</v>
      </c>
      <c r="P49" s="180">
        <f>IFERROR(O49/12,"")</f>
        <v>0</v>
      </c>
      <c r="Q49" s="164"/>
    </row>
    <row r="50" spans="1:17" ht="27.75" customHeight="1" x14ac:dyDescent="0.2">
      <c r="A50" s="1"/>
      <c r="B50" s="165" t="s">
        <v>109</v>
      </c>
      <c r="C50" s="181">
        <f t="shared" ref="C50:N50" si="15">C12-C49</f>
        <v>0</v>
      </c>
      <c r="D50" s="181">
        <f t="shared" si="15"/>
        <v>0</v>
      </c>
      <c r="E50" s="181">
        <f t="shared" si="15"/>
        <v>0</v>
      </c>
      <c r="F50" s="181">
        <f t="shared" si="15"/>
        <v>0</v>
      </c>
      <c r="G50" s="181">
        <f t="shared" si="15"/>
        <v>0</v>
      </c>
      <c r="H50" s="181">
        <f t="shared" si="15"/>
        <v>0</v>
      </c>
      <c r="I50" s="181">
        <f t="shared" si="15"/>
        <v>0</v>
      </c>
      <c r="J50" s="181">
        <f t="shared" si="15"/>
        <v>0</v>
      </c>
      <c r="K50" s="181">
        <f t="shared" si="15"/>
        <v>0</v>
      </c>
      <c r="L50" s="181">
        <f t="shared" si="15"/>
        <v>0</v>
      </c>
      <c r="M50" s="181">
        <f t="shared" si="15"/>
        <v>0</v>
      </c>
      <c r="N50" s="181">
        <f t="shared" si="15"/>
        <v>0</v>
      </c>
      <c r="O50" s="181">
        <f>SUM(C50:N50)</f>
        <v>0</v>
      </c>
      <c r="P50" s="181">
        <f>IFERROR(O50/12,"")</f>
        <v>0</v>
      </c>
      <c r="Q50" s="31"/>
    </row>
    <row r="51" spans="1:17" ht="19.5" customHeight="1" x14ac:dyDescent="0.2">
      <c r="B51" s="147" t="s">
        <v>110</v>
      </c>
      <c r="C51" s="182" t="str">
        <f t="shared" ref="C51:N51" si="16">IF(C50&gt;0,"✓","✗")</f>
        <v>✗</v>
      </c>
      <c r="D51" s="182" t="str">
        <f t="shared" si="16"/>
        <v>✗</v>
      </c>
      <c r="E51" s="182" t="str">
        <f t="shared" si="16"/>
        <v>✗</v>
      </c>
      <c r="F51" s="182" t="str">
        <f t="shared" si="16"/>
        <v>✗</v>
      </c>
      <c r="G51" s="182" t="str">
        <f t="shared" si="16"/>
        <v>✗</v>
      </c>
      <c r="H51" s="182" t="str">
        <f t="shared" si="16"/>
        <v>✗</v>
      </c>
      <c r="I51" s="182" t="str">
        <f t="shared" si="16"/>
        <v>✗</v>
      </c>
      <c r="J51" s="182" t="str">
        <f t="shared" si="16"/>
        <v>✗</v>
      </c>
      <c r="K51" s="182" t="str">
        <f t="shared" si="16"/>
        <v>✗</v>
      </c>
      <c r="L51" s="182" t="str">
        <f t="shared" si="16"/>
        <v>✗</v>
      </c>
      <c r="M51" s="182" t="str">
        <f t="shared" si="16"/>
        <v>✗</v>
      </c>
      <c r="N51" s="182" t="str">
        <f t="shared" si="16"/>
        <v>✗</v>
      </c>
      <c r="O51" s="23"/>
      <c r="P51" s="23"/>
      <c r="Q51" s="28" t="s">
        <v>111</v>
      </c>
    </row>
    <row r="52" spans="1:17" ht="19.5" customHeight="1" x14ac:dyDescent="0.2">
      <c r="B52" s="144" t="s">
        <v>112</v>
      </c>
      <c r="C52" s="183">
        <f>IFERROR('1. Perfil'!C22,0)</f>
        <v>0</v>
      </c>
      <c r="D52" s="176">
        <f t="shared" ref="D52:N52" si="17">$C$52</f>
        <v>0</v>
      </c>
      <c r="E52" s="176">
        <f t="shared" si="17"/>
        <v>0</v>
      </c>
      <c r="F52" s="176">
        <f t="shared" si="17"/>
        <v>0</v>
      </c>
      <c r="G52" s="176">
        <f t="shared" si="17"/>
        <v>0</v>
      </c>
      <c r="H52" s="176">
        <f t="shared" si="17"/>
        <v>0</v>
      </c>
      <c r="I52" s="176">
        <f t="shared" si="17"/>
        <v>0</v>
      </c>
      <c r="J52" s="176">
        <f t="shared" si="17"/>
        <v>0</v>
      </c>
      <c r="K52" s="176">
        <f t="shared" si="17"/>
        <v>0</v>
      </c>
      <c r="L52" s="176">
        <f t="shared" si="17"/>
        <v>0</v>
      </c>
      <c r="M52" s="176">
        <f t="shared" si="17"/>
        <v>0</v>
      </c>
      <c r="N52" s="176">
        <f t="shared" si="17"/>
        <v>0</v>
      </c>
      <c r="O52" s="101">
        <f>C52*12</f>
        <v>0</v>
      </c>
      <c r="P52" s="100">
        <f>C52</f>
        <v>0</v>
      </c>
      <c r="Q52" s="28" t="s">
        <v>113</v>
      </c>
    </row>
    <row r="53" spans="1:17" ht="25.5" customHeight="1" x14ac:dyDescent="0.2">
      <c r="A53" s="1"/>
      <c r="B53" s="166" t="s">
        <v>114</v>
      </c>
      <c r="C53" s="276" t="str">
        <f>IF(P50&gt;C52,"✓  SÍ — modelo vacacional es más rentable","✗  NO — revisar estrategia")</f>
        <v>✗  NO — revisar estrategia</v>
      </c>
      <c r="D53" s="277"/>
      <c r="E53" s="277"/>
      <c r="F53" s="277"/>
      <c r="G53" s="277"/>
      <c r="H53" s="277"/>
      <c r="I53" s="277"/>
      <c r="J53" s="277"/>
      <c r="K53" s="277"/>
      <c r="L53" s="277"/>
      <c r="M53" s="277"/>
      <c r="N53" s="277"/>
      <c r="O53" s="277"/>
      <c r="P53" s="277"/>
      <c r="Q53" s="31"/>
    </row>
    <row r="54" spans="1:17" ht="15.75" customHeight="1" x14ac:dyDescent="0.2">
      <c r="B54" s="23"/>
      <c r="C54" s="23"/>
      <c r="D54" s="23"/>
      <c r="E54" s="23"/>
      <c r="F54" s="23"/>
      <c r="G54" s="23"/>
      <c r="H54" s="23"/>
      <c r="I54" s="23"/>
      <c r="J54" s="23"/>
      <c r="K54" s="23"/>
      <c r="L54" s="23"/>
      <c r="M54" s="23"/>
      <c r="N54" s="23"/>
      <c r="O54" s="23"/>
      <c r="P54" s="23"/>
      <c r="Q54" s="23"/>
    </row>
    <row r="55" spans="1:17" ht="19.5" customHeight="1" x14ac:dyDescent="0.2">
      <c r="A55" s="1"/>
      <c r="B55" s="39" t="s">
        <v>209</v>
      </c>
      <c r="C55" s="31"/>
      <c r="D55" s="31"/>
      <c r="E55" s="31"/>
      <c r="F55" s="31"/>
      <c r="G55" s="31"/>
      <c r="H55" s="31"/>
      <c r="I55" s="31"/>
      <c r="J55" s="31"/>
      <c r="K55" s="31"/>
      <c r="L55" s="31"/>
      <c r="M55" s="31"/>
      <c r="N55" s="31"/>
      <c r="O55" s="31"/>
      <c r="P55" s="31"/>
      <c r="Q55" s="31"/>
    </row>
    <row r="56" spans="1:17" ht="15.75" customHeight="1" x14ac:dyDescent="0.2">
      <c r="B56" s="23"/>
      <c r="C56" s="23"/>
      <c r="D56" s="23"/>
      <c r="E56" s="23"/>
      <c r="F56" s="23"/>
      <c r="G56" s="23"/>
      <c r="H56" s="23"/>
      <c r="I56" s="23"/>
      <c r="J56" s="23"/>
      <c r="K56" s="23"/>
      <c r="L56" s="23"/>
      <c r="M56" s="23"/>
      <c r="N56" s="23"/>
      <c r="O56" s="23"/>
      <c r="P56" s="23"/>
      <c r="Q56" s="23"/>
    </row>
    <row r="57" spans="1:17" ht="15.75" customHeight="1" x14ac:dyDescent="0.2">
      <c r="B57" s="102" t="str">
        <f>IF('1. Perfil'!C30="","⚠ Falta fecha del estudio en '1. Perfil'!C30","📅 Fecha del estudio: "&amp;TEXT('1. Perfil'!C30,"dd/mmm/aaaa"))</f>
        <v>📅 Fecha del estudio: 11/jun/2026</v>
      </c>
      <c r="C57" s="23"/>
      <c r="D57" s="23"/>
      <c r="E57" s="23"/>
      <c r="F57" s="23"/>
      <c r="G57" s="23"/>
      <c r="H57" s="23"/>
      <c r="I57" s="23"/>
      <c r="J57" s="23"/>
      <c r="K57" s="23"/>
      <c r="L57" s="23"/>
      <c r="M57" s="23"/>
      <c r="N57" s="23"/>
      <c r="O57" s="23"/>
      <c r="P57" s="23"/>
      <c r="Q57" s="23"/>
    </row>
    <row r="58" spans="1:17" ht="15.75" customHeight="1" x14ac:dyDescent="0.2"/>
    <row r="59" spans="1:17" ht="15.75" customHeight="1" x14ac:dyDescent="0.2"/>
    <row r="60" spans="1:17" ht="15.75" customHeight="1" x14ac:dyDescent="0.2"/>
    <row r="61" spans="1:17" ht="15.75" customHeight="1" x14ac:dyDescent="0.2"/>
    <row r="62" spans="1:17" ht="15.75" customHeight="1" x14ac:dyDescent="0.2"/>
    <row r="63" spans="1:17" ht="15.75" customHeight="1" x14ac:dyDescent="0.2"/>
    <row r="64" spans="1: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sheetData>
  <sheetProtection sheet="1" objects="1" scenarios="1" formatCells="0" formatColumns="0" formatRows="0" insertHyperlinks="0" sort="0" autoFilter="0"/>
  <mergeCells count="1">
    <mergeCell ref="C53:P53"/>
  </mergeCells>
  <dataValidations count="1">
    <dataValidation type="list" allowBlank="1" showInputMessage="1" showErrorMessage="1" errorTitle="Opción inválida" error="Selecciona una opción del dropdown (0% a 50% en intervalos de 5%)." promptTitle="🔔 Reserva mensual" prompt="Selecciona el % del ingreso bruto a apartar como reserva mensual._x000a__x000a_Opciones: de 0% a 50% en intervalos de 5%._x000a__x000a_Recomendado: 10–15%" sqref="B48" xr:uid="{C7D4ACDC-0CA9-D443-805E-2148C242D8A6}">
      <formula1>"0%,5%,10%,15%,20%,25%,30%,35%,40%,45%,50%"</formula1>
    </dataValidation>
  </dataValidations>
  <pageMargins left="0.75" right="0.75" top="1" bottom="1" header="0.511811023622047" footer="0.511811023622047"/>
  <pageSetup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34AB7"/>
  </sheetPr>
  <dimension ref="A1:Z999"/>
  <sheetViews>
    <sheetView showGridLines="0" zoomScale="88" zoomScaleNormal="100" workbookViewId="0">
      <selection activeCell="C8" sqref="C8:E8"/>
    </sheetView>
  </sheetViews>
  <sheetFormatPr baseColWidth="10" defaultColWidth="0" defaultRowHeight="15" x14ac:dyDescent="0.2"/>
  <cols>
    <col min="1" max="1" width="2.5" customWidth="1"/>
    <col min="2" max="2" width="46.6640625" customWidth="1"/>
    <col min="3" max="4" width="24.1640625" customWidth="1"/>
    <col min="5" max="5" width="27.5" customWidth="1"/>
    <col min="6" max="6" width="15.5" hidden="1" customWidth="1"/>
    <col min="7" max="26" width="0" hidden="1" customWidth="1"/>
    <col min="27" max="16384" width="14.5" hidden="1"/>
  </cols>
  <sheetData>
    <row r="1" spans="1:26" ht="55" customHeight="1" x14ac:dyDescent="0.2"/>
    <row r="2" spans="1:26" ht="30" customHeight="1" x14ac:dyDescent="0.2">
      <c r="B2" s="281" t="s">
        <v>212</v>
      </c>
      <c r="C2" s="281"/>
      <c r="D2" s="281"/>
      <c r="E2" s="281"/>
    </row>
    <row r="3" spans="1:26" ht="22" customHeight="1" x14ac:dyDescent="0.2">
      <c r="B3" s="279" t="s">
        <v>213</v>
      </c>
      <c r="C3" s="279"/>
      <c r="D3" s="279"/>
      <c r="E3" s="279"/>
    </row>
    <row r="4" spans="1:26" ht="10" customHeight="1" x14ac:dyDescent="0.2"/>
    <row r="5" spans="1:26" ht="22" customHeight="1" x14ac:dyDescent="0.2">
      <c r="B5" s="278" t="s">
        <v>214</v>
      </c>
      <c r="C5" s="278"/>
      <c r="D5" s="278"/>
      <c r="E5" s="278"/>
    </row>
    <row r="6" spans="1:26" ht="21.75" customHeight="1" x14ac:dyDescent="0.2">
      <c r="B6" s="223" t="s">
        <v>215</v>
      </c>
      <c r="C6" s="280" t="str">
        <f>'1. Perfil'!C8</f>
        <v>Ej. Nombre del anfitrión o empresa</v>
      </c>
      <c r="D6" s="280"/>
      <c r="E6" s="280"/>
    </row>
    <row r="7" spans="1:26" ht="19.5" customHeight="1" x14ac:dyDescent="0.2">
      <c r="B7" s="223" t="s">
        <v>115</v>
      </c>
      <c r="C7" s="280" t="str">
        <f>'1. Perfil'!C4</f>
        <v>Ej. Estudio Long Island</v>
      </c>
      <c r="D7" s="280"/>
      <c r="E7" s="280"/>
    </row>
    <row r="8" spans="1:26" ht="15" customHeight="1" x14ac:dyDescent="0.2">
      <c r="B8" s="223" t="s">
        <v>152</v>
      </c>
      <c r="C8" s="280" t="str">
        <f>'1. Perfil'!C5</f>
        <v>Ej. Departamento completo</v>
      </c>
      <c r="D8" s="280"/>
      <c r="E8" s="280"/>
    </row>
    <row r="9" spans="1:26" ht="21.75" customHeight="1" x14ac:dyDescent="0.2">
      <c r="B9" s="223" t="s">
        <v>153</v>
      </c>
      <c r="C9" s="280" t="str">
        <f>'1. Perfil'!C6</f>
        <v>Ej. Elmont, NY</v>
      </c>
      <c r="D9" s="280"/>
      <c r="E9" s="280"/>
    </row>
    <row r="10" spans="1:26" ht="25.5" customHeight="1" x14ac:dyDescent="0.2">
      <c r="B10" s="223" t="s">
        <v>13</v>
      </c>
      <c r="C10" s="280" t="str">
        <f>'1. Perfil'!C2</f>
        <v>USD - Dólar EE.UU.</v>
      </c>
      <c r="D10" s="280"/>
      <c r="E10" s="280"/>
    </row>
    <row r="11" spans="1:26" ht="30" customHeight="1" x14ac:dyDescent="0.2">
      <c r="B11" s="223" t="s">
        <v>216</v>
      </c>
      <c r="C11" s="280">
        <f>'1. Perfil'!C13</f>
        <v>0</v>
      </c>
      <c r="D11" s="280"/>
      <c r="E11" s="280"/>
    </row>
    <row r="12" spans="1:26" ht="21.75" customHeight="1" x14ac:dyDescent="0.2"/>
    <row r="13" spans="1:26" s="8" customFormat="1" ht="22" customHeight="1" x14ac:dyDescent="0.2">
      <c r="A13"/>
      <c r="B13" s="278" t="s">
        <v>217</v>
      </c>
      <c r="C13" s="278"/>
      <c r="D13" s="278"/>
      <c r="E13" s="278"/>
      <c r="F13"/>
      <c r="G13"/>
      <c r="H13"/>
      <c r="I13"/>
      <c r="J13"/>
      <c r="K13"/>
      <c r="L13"/>
      <c r="M13"/>
      <c r="N13"/>
      <c r="O13"/>
      <c r="P13"/>
      <c r="Q13"/>
      <c r="R13"/>
      <c r="S13"/>
      <c r="T13"/>
      <c r="U13"/>
      <c r="V13"/>
      <c r="W13"/>
      <c r="X13"/>
      <c r="Y13"/>
      <c r="Z13"/>
    </row>
    <row r="14" spans="1:26" ht="44" customHeight="1" x14ac:dyDescent="0.2">
      <c r="B14" s="218" t="s">
        <v>218</v>
      </c>
    </row>
    <row r="15" spans="1:26" ht="27.75" customHeight="1" x14ac:dyDescent="0.2">
      <c r="B15" s="224" t="s">
        <v>219</v>
      </c>
      <c r="C15" s="225" t="s">
        <v>220</v>
      </c>
      <c r="D15" s="225" t="s">
        <v>221</v>
      </c>
      <c r="E15" s="225" t="s">
        <v>222</v>
      </c>
    </row>
    <row r="16" spans="1:26" ht="21.75" customHeight="1" x14ac:dyDescent="0.2">
      <c r="B16" s="226" t="s">
        <v>223</v>
      </c>
      <c r="C16" s="227" t="str">
        <f>IFERROR('2. Mercado'!Y14,"")</f>
        <v/>
      </c>
      <c r="D16" s="227" t="str">
        <f>IFERROR('2. Mercado'!Y15,"")</f>
        <v/>
      </c>
      <c r="E16" s="228" t="str">
        <f>IFERROR(IF(D16=0,"",IF(C16&gt;=D16,"↑ "&amp;TEXT((C16-D16)/D16,"0.0%")&amp;" arriba","↓ "&amp;TEXT((D16-C16)/D16,"0.0%")&amp;" abajo")),"")</f>
        <v/>
      </c>
    </row>
    <row r="17" spans="2:5" ht="24" customHeight="1" x14ac:dyDescent="0.2">
      <c r="B17" s="226" t="s">
        <v>224</v>
      </c>
      <c r="C17" s="229">
        <f>IFERROR('2. Mercado'!Z14,"")</f>
        <v>0</v>
      </c>
      <c r="D17" s="229" t="str">
        <f>IFERROR('2. Mercado'!Z15,"")</f>
        <v/>
      </c>
      <c r="E17" s="228" t="str">
        <f>IFERROR(IF(D17=0,"",IF(C17&gt;=D17,"↑ "&amp;TEXT(C17-D17,"0.0%")&amp;" arriba","↓ "&amp;TEXT(D17-C17,"0.0%")&amp;" abajo")),"")</f>
        <v/>
      </c>
    </row>
    <row r="18" spans="2:5" ht="21.75" customHeight="1" x14ac:dyDescent="0.2">
      <c r="B18" s="226" t="s">
        <v>225</v>
      </c>
      <c r="C18" s="230" t="str">
        <f>IFERROR('2. Mercado'!AA14,"")</f>
        <v/>
      </c>
      <c r="D18" s="230" t="str">
        <f>IFERROR('2. Mercado'!AA15,"")</f>
        <v/>
      </c>
      <c r="E18" s="231" t="str">
        <f>IFERROR(IF(D18=0,"",IF(C18&gt;=D18,"↑ "&amp;TEXT((C18-D18)/D18,"0.0%"),"↓ "&amp;TEXT((D18-C18)/D18,"0.0%"))),"")</f>
        <v/>
      </c>
    </row>
    <row r="19" spans="2:5" ht="21.75" customHeight="1" x14ac:dyDescent="0.2">
      <c r="B19" s="226" t="s">
        <v>226</v>
      </c>
      <c r="C19" s="232">
        <f>IFERROR('2. Mercado'!H14,"")</f>
        <v>0</v>
      </c>
      <c r="D19" s="232" t="str">
        <f>IFERROR('2. Mercado'!H15,"")</f>
        <v/>
      </c>
      <c r="E19" s="233"/>
    </row>
    <row r="20" spans="2:5" ht="25" customHeight="1" x14ac:dyDescent="0.2">
      <c r="B20" s="226" t="s">
        <v>227</v>
      </c>
      <c r="C20" s="234">
        <f>IFERROR('2. Mercado'!I14,"")</f>
        <v>0</v>
      </c>
      <c r="D20" s="234" t="str">
        <f>IFERROR('2. Mercado'!I15,"")</f>
        <v/>
      </c>
      <c r="E20" s="233"/>
    </row>
    <row r="21" spans="2:5" ht="36" customHeight="1" x14ac:dyDescent="0.2">
      <c r="B21" s="226" t="s">
        <v>228</v>
      </c>
      <c r="C21" s="235" t="str">
        <f>IFERROR('2. Mercado'!L14,"")</f>
        <v/>
      </c>
      <c r="D21" s="235" t="str">
        <f>IFERROR('2. Mercado'!L15,"")</f>
        <v/>
      </c>
      <c r="E21" s="233"/>
    </row>
    <row r="22" spans="2:5" ht="39.75" customHeight="1" x14ac:dyDescent="0.2"/>
    <row r="23" spans="2:5" ht="22" customHeight="1" x14ac:dyDescent="0.2">
      <c r="B23" s="278" t="s">
        <v>229</v>
      </c>
      <c r="C23" s="278"/>
      <c r="D23" s="278"/>
      <c r="E23" s="278"/>
    </row>
    <row r="24" spans="2:5" ht="21.75" customHeight="1" x14ac:dyDescent="0.2">
      <c r="B24" s="219" t="s">
        <v>230</v>
      </c>
    </row>
    <row r="25" spans="2:5" ht="15.75" customHeight="1" x14ac:dyDescent="0.2">
      <c r="B25" s="226" t="s">
        <v>51</v>
      </c>
      <c r="C25" s="236">
        <f>IFERROR('3. Top Propiedades'!C12,"")</f>
        <v>0</v>
      </c>
    </row>
    <row r="26" spans="2:5" ht="15.75" customHeight="1" x14ac:dyDescent="0.2">
      <c r="B26" s="226" t="s">
        <v>53</v>
      </c>
      <c r="C26" s="236">
        <f>IFERROR('3. Top Propiedades'!C13,"")</f>
        <v>0</v>
      </c>
    </row>
    <row r="27" spans="2:5" ht="15.75" customHeight="1" x14ac:dyDescent="0.2">
      <c r="B27" s="226" t="s">
        <v>231</v>
      </c>
      <c r="C27" s="227" t="str">
        <f>IFERROR('3. Top Propiedades'!C14,"")</f>
        <v/>
      </c>
    </row>
    <row r="28" spans="2:5" ht="15.75" customHeight="1" x14ac:dyDescent="0.2">
      <c r="B28" s="226" t="s">
        <v>54</v>
      </c>
      <c r="C28" s="230" t="str">
        <f>IFERROR('3. Top Propiedades'!C15,"")</f>
        <v/>
      </c>
    </row>
    <row r="29" spans="2:5" ht="15.75" customHeight="1" x14ac:dyDescent="0.2"/>
    <row r="30" spans="2:5" ht="22" customHeight="1" x14ac:dyDescent="0.2">
      <c r="B30" s="278" t="s">
        <v>232</v>
      </c>
      <c r="C30" s="278"/>
      <c r="D30" s="278"/>
      <c r="E30" s="278"/>
    </row>
    <row r="31" spans="2:5" ht="15.75" customHeight="1" x14ac:dyDescent="0.2">
      <c r="B31" s="219" t="s">
        <v>233</v>
      </c>
    </row>
    <row r="32" spans="2:5" ht="15.75" customHeight="1" x14ac:dyDescent="0.2">
      <c r="B32" s="237" t="s">
        <v>219</v>
      </c>
      <c r="C32" s="225" t="s">
        <v>234</v>
      </c>
      <c r="D32" s="225" t="s">
        <v>235</v>
      </c>
      <c r="E32" s="225" t="s">
        <v>236</v>
      </c>
    </row>
    <row r="33" spans="2:5" ht="15.75" customHeight="1" x14ac:dyDescent="0.2">
      <c r="B33" s="238" t="s">
        <v>237</v>
      </c>
      <c r="C33" s="239">
        <f>IFERROR('4a. Factibilidad'!O12,"")</f>
        <v>0</v>
      </c>
      <c r="D33" s="239">
        <f>IFERROR('4b. Aspiracional'!O12,"")</f>
        <v>0</v>
      </c>
      <c r="E33" s="239">
        <f>IFERROR('4c. Techo de Mercado'!O12,"")</f>
        <v>0</v>
      </c>
    </row>
    <row r="34" spans="2:5" ht="15.75" customHeight="1" x14ac:dyDescent="0.2">
      <c r="B34" s="240" t="s">
        <v>238</v>
      </c>
      <c r="C34" s="230">
        <f>IFERROR('4a. Factibilidad'!P12,"")</f>
        <v>0</v>
      </c>
      <c r="D34" s="230">
        <f>IFERROR('4b. Aspiracional'!P12,"")</f>
        <v>0</v>
      </c>
      <c r="E34" s="230">
        <f>IFERROR('4c. Techo de Mercado'!P12,"")</f>
        <v>0</v>
      </c>
    </row>
    <row r="35" spans="2:5" ht="15.75" customHeight="1" x14ac:dyDescent="0.2">
      <c r="B35" s="241" t="s">
        <v>239</v>
      </c>
      <c r="C35" s="242">
        <f>IFERROR('4a. Factibilidad'!O49,"")</f>
        <v>0</v>
      </c>
      <c r="D35" s="242">
        <f>IFERROR('4b. Aspiracional'!O49,"")</f>
        <v>0</v>
      </c>
      <c r="E35" s="242">
        <f>IFERROR('4c. Techo de Mercado'!O49,"")</f>
        <v>0</v>
      </c>
    </row>
    <row r="36" spans="2:5" ht="15.75" customHeight="1" x14ac:dyDescent="0.2">
      <c r="B36" s="240" t="s">
        <v>240</v>
      </c>
      <c r="C36" s="230">
        <f>IFERROR('4a. Factibilidad'!P49,"")</f>
        <v>0</v>
      </c>
      <c r="D36" s="230">
        <f>IFERROR('4b. Aspiracional'!P49,"")</f>
        <v>0</v>
      </c>
      <c r="E36" s="230">
        <f>IFERROR('4c. Techo de Mercado'!P49,"")</f>
        <v>0</v>
      </c>
    </row>
    <row r="37" spans="2:5" ht="15.75" customHeight="1" x14ac:dyDescent="0.2">
      <c r="B37" s="243" t="s">
        <v>241</v>
      </c>
      <c r="C37" s="244">
        <f>IFERROR('4a. Factibilidad'!O50,"")</f>
        <v>0</v>
      </c>
      <c r="D37" s="244">
        <f>IFERROR('4b. Aspiracional'!O50,"")</f>
        <v>0</v>
      </c>
      <c r="E37" s="244">
        <f>IFERROR('4c. Techo de Mercado'!O50,"")</f>
        <v>0</v>
      </c>
    </row>
    <row r="38" spans="2:5" ht="15.75" customHeight="1" x14ac:dyDescent="0.2">
      <c r="B38" s="245" t="s">
        <v>242</v>
      </c>
      <c r="C38" s="246">
        <f>IFERROR('4a. Factibilidad'!P50,"")</f>
        <v>0</v>
      </c>
      <c r="D38" s="246">
        <f>IFERROR('4b. Aspiracional'!P50,"")</f>
        <v>0</v>
      </c>
      <c r="E38" s="246">
        <f>IFERROR('4c. Techo de Mercado'!P50,"")</f>
        <v>0</v>
      </c>
    </row>
    <row r="39" spans="2:5" ht="15.75" customHeight="1" x14ac:dyDescent="0.2">
      <c r="B39" s="240" t="s">
        <v>243</v>
      </c>
      <c r="C39" s="229" t="str">
        <f>IFERROR(C37/C33,"")</f>
        <v/>
      </c>
      <c r="D39" s="229" t="str">
        <f>IFERROR(D37/D33,"")</f>
        <v/>
      </c>
      <c r="E39" s="229" t="str">
        <f>IFERROR(E37/E33,"")</f>
        <v/>
      </c>
    </row>
    <row r="40" spans="2:5" ht="15.75" customHeight="1" x14ac:dyDescent="0.2">
      <c r="B40" s="226" t="s">
        <v>244</v>
      </c>
      <c r="C40" s="247" t="str">
        <f>IFERROR(IF(C38&gt;'4a. Factibilidad'!C52,"✓ SÍ","✗ NO"),"")</f>
        <v>✗ NO</v>
      </c>
      <c r="D40" s="247" t="str">
        <f>IFERROR(IF(D38&gt;'4b. Aspiracional'!C52,"✓ SÍ","✗ NO"),"")</f>
        <v>✗ NO</v>
      </c>
      <c r="E40" s="247" t="str">
        <f>IFERROR(IF(E38&gt;'4c. Techo de Mercado'!C52,"✓ SÍ","✗ NO"),"")</f>
        <v>✗ NO</v>
      </c>
    </row>
    <row r="41" spans="2:5" ht="15.75" customHeight="1" x14ac:dyDescent="0.2"/>
    <row r="42" spans="2:5" ht="22" customHeight="1" x14ac:dyDescent="0.2">
      <c r="B42" s="278" t="s">
        <v>245</v>
      </c>
      <c r="C42" s="278"/>
      <c r="D42" s="278"/>
      <c r="E42" s="278"/>
    </row>
    <row r="43" spans="2:5" ht="15.75" customHeight="1" x14ac:dyDescent="0.2">
      <c r="B43" s="223" t="s">
        <v>246</v>
      </c>
      <c r="C43" s="248" t="str">
        <f>IF('4a. Factibilidad'!P50&gt;0,IF('4a. Factibilidad'!P50&gt;'4a. Factibilidad'!C52,"● VIABLE  —  supera renta convencional","● MARGINAL  —  rentable pero por debajo de renta convencional"),"● NO VIABLE  —  utilidad mensual negativa")</f>
        <v>● NO VIABLE  —  utilidad mensual negativa</v>
      </c>
    </row>
    <row r="44" spans="2:5" ht="15.75" customHeight="1" x14ac:dyDescent="0.2">
      <c r="B44" s="223" t="s">
        <v>247</v>
      </c>
      <c r="C44" s="248" t="str">
        <f>IF('4b. Aspiracional'!P50&gt;0,IF('4b. Aspiracional'!P50&gt;'4b. Aspiracional'!C52,"● VIABLE  —  supera renta convencional","● MARGINAL  —  rentable pero por debajo de renta convencional"),"● NO VIABLE  —  utilidad mensual negativa")</f>
        <v>● NO VIABLE  —  utilidad mensual negativa</v>
      </c>
    </row>
    <row r="45" spans="2:5" ht="15.75" customHeight="1" x14ac:dyDescent="0.2">
      <c r="B45" s="223" t="s">
        <v>248</v>
      </c>
      <c r="C45" s="248" t="str">
        <f>IF('4c. Techo de Mercado'!P50&gt;0,IF('4c. Techo de Mercado'!P50&gt;'4c. Techo de Mercado'!C52,"● POTENCIAL MÁXIMO  —  meta de crecimiento","● POTENCIAL LIMITADO"),"● SIN POTENCIAL CON COSTOS ACTUALES")</f>
        <v>● SIN POTENCIAL CON COSTOS ACTUALES</v>
      </c>
    </row>
    <row r="46" spans="2:5" ht="15.75" customHeight="1" x14ac:dyDescent="0.2"/>
    <row r="47" spans="2:5" ht="15.75" customHeight="1" x14ac:dyDescent="0.2">
      <c r="B47" s="220" t="s">
        <v>249</v>
      </c>
    </row>
    <row r="48" spans="2:5" ht="15.75" customHeight="1" x14ac:dyDescent="0.2">
      <c r="B48" s="220" t="s">
        <v>250</v>
      </c>
    </row>
    <row r="49" spans="2:2" ht="15.75" customHeight="1" x14ac:dyDescent="0.2">
      <c r="B49" s="221" t="s">
        <v>251</v>
      </c>
    </row>
    <row r="50" spans="2:2" ht="15.75" customHeight="1" x14ac:dyDescent="0.2">
      <c r="B50" s="221" t="s">
        <v>252</v>
      </c>
    </row>
    <row r="51" spans="2:2" ht="15.75" customHeight="1" x14ac:dyDescent="0.2">
      <c r="B51" s="221" t="s">
        <v>253</v>
      </c>
    </row>
    <row r="52" spans="2:2" ht="15.75" customHeight="1" x14ac:dyDescent="0.2"/>
    <row r="53" spans="2:2" ht="15.75" customHeight="1" x14ac:dyDescent="0.2">
      <c r="B53" s="222" t="s">
        <v>116</v>
      </c>
    </row>
    <row r="54" spans="2:2" ht="15.75" customHeight="1" x14ac:dyDescent="0.2">
      <c r="B54" s="222" t="str">
        <f>IF('1. Perfil'!C30="","⚠ Falta fecha del estudio en '1. Perfil'!C30","📅 Fecha del estudio: "&amp;TEXT('1. Perfil'!C30,"dd/mmm/aaaa"))</f>
        <v>📅 Fecha del estudio: 11/jun/2026</v>
      </c>
    </row>
    <row r="55" spans="2:2" ht="15.75" customHeight="1" x14ac:dyDescent="0.2"/>
    <row r="56" spans="2:2" ht="15.75" customHeight="1" x14ac:dyDescent="0.2"/>
    <row r="57" spans="2:2" ht="15.75" customHeight="1" x14ac:dyDescent="0.2"/>
    <row r="58" spans="2:2" ht="15.75" customHeight="1" x14ac:dyDescent="0.2"/>
    <row r="59" spans="2:2" ht="15.75" customHeight="1" x14ac:dyDescent="0.2"/>
    <row r="60" spans="2:2" ht="15.75" customHeight="1" x14ac:dyDescent="0.2"/>
    <row r="61" spans="2:2" ht="15.75" customHeight="1" x14ac:dyDescent="0.2"/>
    <row r="62" spans="2:2" ht="15.75" customHeight="1" x14ac:dyDescent="0.2"/>
    <row r="63" spans="2:2" ht="15.75" customHeight="1" x14ac:dyDescent="0.2"/>
    <row r="64" spans="2: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sheetProtection sheet="1" objects="1" scenarios="1" sort="0" autoFilter="0"/>
  <mergeCells count="13">
    <mergeCell ref="B2:E2"/>
    <mergeCell ref="B5:E5"/>
    <mergeCell ref="B13:E13"/>
    <mergeCell ref="B23:E23"/>
    <mergeCell ref="B30:E30"/>
    <mergeCell ref="B42:E42"/>
    <mergeCell ref="B3:E3"/>
    <mergeCell ref="C6:E6"/>
    <mergeCell ref="C7:E7"/>
    <mergeCell ref="C8:E8"/>
    <mergeCell ref="C9:E9"/>
    <mergeCell ref="C10:E10"/>
    <mergeCell ref="C11:E11"/>
  </mergeCells>
  <pageMargins left="0.75" right="0.75" top="1" bottom="1" header="0.511811023622047" footer="0.511811023622047"/>
  <pageSetup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 Bienvenida</vt:lpstr>
      <vt:lpstr>1. Perfil</vt:lpstr>
      <vt:lpstr>2. Mercado</vt:lpstr>
      <vt:lpstr>3. Top Propiedades</vt:lpstr>
      <vt:lpstr>4a. Factibilidad</vt:lpstr>
      <vt:lpstr>4b. Aspiracional</vt:lpstr>
      <vt:lpstr>4c. Techo de Mercado</vt:lpstr>
      <vt:lpstr>5. 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juan pablo tellez giron</cp:lastModifiedBy>
  <cp:revision>0</cp:revision>
  <dcterms:created xsi:type="dcterms:W3CDTF">2026-05-15T01:32:44Z</dcterms:created>
  <dcterms:modified xsi:type="dcterms:W3CDTF">2026-06-12T03:41:39Z</dcterms:modified>
  <dc:language>en-US</dc:language>
</cp:coreProperties>
</file>